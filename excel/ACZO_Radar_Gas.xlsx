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E36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3" t="n">
        <v>46258</v>
      </c>
      <c r="E29" s="12" t="n">
        <v>66.22</v>
      </c>
    </row>
    <row r="30">
      <c r="A30" s="11" t="n">
        <v>45658</v>
      </c>
      <c r="B30" s="12" t="n">
        <v>48.47</v>
      </c>
      <c r="D30" s="13" t="n">
        <v>46259</v>
      </c>
      <c r="E30" s="12" t="n">
        <v>67.97</v>
      </c>
    </row>
    <row r="31">
      <c r="A31" s="11" t="n">
        <v>45689</v>
      </c>
      <c r="B31" s="12" t="n">
        <v>50.4</v>
      </c>
      <c r="D31" s="13" t="n">
        <v>46260</v>
      </c>
      <c r="E31" s="12" t="n">
        <v>66.09999999999999</v>
      </c>
    </row>
    <row r="32">
      <c r="A32" s="11" t="n">
        <v>45717</v>
      </c>
      <c r="B32" s="12" t="n">
        <v>41.41</v>
      </c>
      <c r="D32" s="13" t="n">
        <v>46261</v>
      </c>
      <c r="E32" s="12" t="n">
        <v>65.86</v>
      </c>
    </row>
    <row r="33">
      <c r="A33" s="11" t="n">
        <v>45748</v>
      </c>
      <c r="B33" s="12" t="n">
        <v>33.76</v>
      </c>
      <c r="D33" s="13" t="n">
        <v>46262</v>
      </c>
      <c r="E33" s="12" t="n">
        <v>68.38</v>
      </c>
    </row>
    <row r="34">
      <c r="A34" s="11" t="n">
        <v>45778</v>
      </c>
      <c r="B34" s="12" t="n">
        <v>34.02</v>
      </c>
      <c r="D34" s="13" t="n">
        <v>46263</v>
      </c>
      <c r="E34" s="12" t="n">
        <v>66.67</v>
      </c>
    </row>
    <row r="35">
      <c r="A35" s="11" t="n">
        <v>45809</v>
      </c>
      <c r="B35" s="12" t="n">
        <v>36.67</v>
      </c>
      <c r="D35" s="18" t="n">
        <v>46264</v>
      </c>
      <c r="E35" s="19" t="n">
        <v>66.7</v>
      </c>
    </row>
    <row r="36">
      <c r="A36" s="11" t="n">
        <v>45839</v>
      </c>
      <c r="B36" s="12" t="n">
        <v>33.94</v>
      </c>
      <c r="D36" s="20" t="inlineStr">
        <is>
          <t>MEDIA MES</t>
        </is>
      </c>
      <c r="E36" s="21">
        <f>AVERAGE(E6:E35)</f>
        <v/>
      </c>
    </row>
    <row r="37">
      <c r="A37" s="11" t="n">
        <v>45870</v>
      </c>
      <c r="B37" s="12" t="n">
        <v>32.58</v>
      </c>
      <c r="D37" s="22" t="inlineStr">
        <is>
          <t>Filas naranjas = entregas futuras ya cotizadas (mañana, pasado).</t>
        </is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37:H37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46262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68.69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66.42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65.40000000000001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66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62.85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43.72</v>
      </c>
      <c r="C11" s="28" t="n">
        <v>3</v>
      </c>
    </row>
    <row r="12">
      <c r="A12" s="30" t="inlineStr">
        <is>
          <t>Trimestre Q+4 (Jul27-Sep27)</t>
        </is>
      </c>
      <c r="B12" s="27" t="n">
        <v>42.82</v>
      </c>
      <c r="C12" s="28" t="n">
        <v>2</v>
      </c>
    </row>
    <row r="13">
      <c r="A13" s="31" t="inlineStr">
        <is>
          <t>Verano (abr-sep) (Apr27-Sep27)</t>
        </is>
      </c>
      <c r="B13" s="27" t="n">
        <v>43.27</v>
      </c>
      <c r="C13" s="28" t="n">
        <v>0</v>
      </c>
    </row>
    <row r="14">
      <c r="A14" s="31" t="inlineStr">
        <is>
          <t>Invierno (oct-mar) (Oct26-Mar27)</t>
        </is>
      </c>
      <c r="B14" s="27" t="n">
        <v>64.18000000000001</v>
      </c>
      <c r="C14" s="28" t="n">
        <v>0</v>
      </c>
    </row>
    <row r="15">
      <c r="A15" s="31" t="inlineStr">
        <is>
          <t>Año Y+1 (Jan27-Dec27)</t>
        </is>
      </c>
      <c r="B15" s="27" t="n">
        <v>47.83</v>
      </c>
      <c r="C15" s="28" t="n">
        <v>0</v>
      </c>
    </row>
    <row r="16">
      <c r="A16" s="31" t="inlineStr">
        <is>
          <t>Año Y+2 (Jan28-Dec28)</t>
        </is>
      </c>
      <c r="B16" s="27" t="n">
        <v>31.77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MIBGAS_Spot!E36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2026-08-29T21:49:54Z</dcterms:created>
  <dcterms:modified xsi:type="dcterms:W3CDTF">2026-08-29T21:49:54Z</dcterms:modified>
</cp:coreProperties>
</file>