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46268</v>
      </c>
      <c r="E8" s="12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46269</v>
      </c>
      <c r="E9" s="12" t="n">
        <v>72.09999999999999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46270</v>
      </c>
      <c r="E10" s="12" t="n">
        <v>72.84999999999999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46271</v>
      </c>
      <c r="E11" s="12" t="n">
        <v>79.03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46272</v>
      </c>
      <c r="E12" s="12" t="n">
        <v>77.63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46273</v>
      </c>
      <c r="E13" s="12" t="n">
        <v>74.76000000000001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46274</v>
      </c>
      <c r="E14" s="12" t="n">
        <v>77.44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46275</v>
      </c>
      <c r="E15" s="12" t="n">
        <v>80.77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46276</v>
      </c>
      <c r="E16" s="12" t="n">
        <v>83.45999999999999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6" t="n">
        <v>46277</v>
      </c>
      <c r="E17" s="17" t="n">
        <v>81.36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8" t="inlineStr">
        <is>
          <t>MEDIA MES</t>
        </is>
      </c>
      <c r="E18" s="19">
        <f>AVERAGE(E6:E17)</f>
        <v/>
      </c>
      <c r="J18" s="20" t="inlineStr">
        <is>
          <t>Sep</t>
        </is>
      </c>
      <c r="K18" s="21">
        <f>E18</f>
        <v/>
      </c>
    </row>
    <row r="19">
      <c r="A19" s="11" t="n">
        <v>45323</v>
      </c>
      <c r="B19" s="12" t="n">
        <v>25.5</v>
      </c>
      <c r="D19" s="22" t="inlineStr">
        <is>
          <t>Filas naranjas = entregas futuras ya cotizadas (mañana, pasado).</t>
        </is>
      </c>
    </row>
    <row r="20">
      <c r="A20" s="11" t="n">
        <v>45352</v>
      </c>
      <c r="B20" s="12" t="n">
        <v>26.72</v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D19:H19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17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46276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(Oct26-Oct26)</t>
        </is>
      </c>
      <c r="B6" s="27" t="n">
        <v>79.97</v>
      </c>
      <c r="C6" s="28" t="n">
        <v>0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(Nov26-Nov26)</t>
        </is>
      </c>
      <c r="B7" s="27" t="n">
        <v>79.64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(Dec26-Dec26)</t>
        </is>
      </c>
      <c r="B8" s="27" t="n">
        <v>79.65000000000001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79.93000000000001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77.58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56.07</v>
      </c>
      <c r="C11" s="28" t="n">
        <v>3</v>
      </c>
    </row>
    <row r="12">
      <c r="A12" s="30" t="inlineStr">
        <is>
          <t>Trimestre Q+4 (Jul27-Sep27)</t>
        </is>
      </c>
      <c r="B12" s="27" t="n">
        <v>51.44</v>
      </c>
      <c r="C12" s="28" t="n">
        <v>3</v>
      </c>
    </row>
    <row r="13">
      <c r="A13" s="31" t="inlineStr">
        <is>
          <t>Verano (abr-sep) (Apr27-Sep27)</t>
        </is>
      </c>
      <c r="B13" s="27" t="n">
        <v>53.74</v>
      </c>
      <c r="C13" s="28" t="n">
        <v>0</v>
      </c>
    </row>
    <row r="14">
      <c r="A14" s="31" t="inlineStr">
        <is>
          <t>Invierno (oct-mar) (Oct26-Mar27)</t>
        </is>
      </c>
      <c r="B14" s="27" t="n">
        <v>78.43000000000001</v>
      </c>
      <c r="C14" s="28" t="n">
        <v>0</v>
      </c>
    </row>
    <row r="15">
      <c r="A15" s="31" t="inlineStr">
        <is>
          <t>Año Y+1 (Jan27-Dec27)</t>
        </is>
      </c>
      <c r="B15" s="27" t="n">
        <v>58.83</v>
      </c>
      <c r="C15" s="28" t="n">
        <v>0</v>
      </c>
    </row>
    <row r="16">
      <c r="A16" s="31" t="inlineStr">
        <is>
          <t>Año Y+2 (Jan28-Dec28)</t>
        </is>
      </c>
      <c r="B16" s="27" t="n">
        <v>36.17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MIBGAS_Spot!E18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2026-09-11T21:48:19Z</dcterms:created>
  <dcterms:modified xsi:type="dcterms:W3CDTF">2026-09-11T21:48:19Z</dcterms:modified>
</cp:coreProperties>
</file>