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(Oct-2026)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46296</v>
      </c>
      <c r="E6" s="12" t="n">
        <v>72.98999999999999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46297</v>
      </c>
      <c r="E7" s="12" t="n">
        <v>73.77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46298</v>
      </c>
      <c r="E8" s="12" t="n">
        <v>74.87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46299</v>
      </c>
      <c r="E9" s="12" t="n">
        <v>78.09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46300</v>
      </c>
      <c r="E10" s="12" t="n">
        <v>77.40000000000001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46301</v>
      </c>
      <c r="E11" s="12" t="n">
        <v>73.38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46302</v>
      </c>
      <c r="E12" s="12" t="n">
        <v>75.13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46303</v>
      </c>
      <c r="E13" s="12" t="n">
        <v>78.27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46304</v>
      </c>
      <c r="E14" s="12" t="n">
        <v>78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46305</v>
      </c>
      <c r="E15" s="12" t="n">
        <v>80.48999999999999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46306</v>
      </c>
      <c r="E16" s="12" t="n">
        <v>80.90000000000001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46307</v>
      </c>
      <c r="E17" s="12" t="n">
        <v>81.18000000000001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46308</v>
      </c>
      <c r="E18" s="12" t="n">
        <v>82.89</v>
      </c>
      <c r="J18" s="16" t="inlineStr">
        <is>
          <t>Oct</t>
        </is>
      </c>
      <c r="K18" s="17">
        <f>E21</f>
        <v/>
      </c>
    </row>
    <row r="19">
      <c r="A19" s="11" t="n">
        <v>45323</v>
      </c>
      <c r="B19" s="12" t="n">
        <v>25.5</v>
      </c>
      <c r="D19" s="13" t="n">
        <v>46309</v>
      </c>
      <c r="E19" s="12" t="n">
        <v>86.3</v>
      </c>
    </row>
    <row r="20">
      <c r="A20" s="11" t="n">
        <v>45352</v>
      </c>
      <c r="B20" s="12" t="n">
        <v>26.72</v>
      </c>
      <c r="D20" s="18" t="n">
        <v>46310</v>
      </c>
      <c r="E20" s="19" t="n">
        <v>86.41</v>
      </c>
    </row>
    <row r="21">
      <c r="A21" s="11" t="n">
        <v>45383</v>
      </c>
      <c r="B21" s="12" t="n">
        <v>29.21</v>
      </c>
      <c r="D21" s="20" t="inlineStr">
        <is>
          <t>MEDIA MES</t>
        </is>
      </c>
      <c r="E21" s="21">
        <f>AVERAGE(E6:E20)</f>
        <v/>
      </c>
    </row>
    <row r="22">
      <c r="A22" s="11" t="n">
        <v>45413</v>
      </c>
      <c r="B22" s="12" t="n">
        <v>31.84</v>
      </c>
      <c r="D22" s="22" t="inlineStr">
        <is>
          <t>Filas naranjas = entregas futuras ya cotizadas (mañana, pasado).</t>
        </is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12" t="n">
        <v>77.56</v>
      </c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4:E4"/>
    <mergeCell ref="D22:H22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0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46309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(Nov26-Nov26)</t>
        </is>
      </c>
      <c r="B6" s="27" t="n">
        <v>84.34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(Dec26-Dec26)</t>
        </is>
      </c>
      <c r="B7" s="27" t="n">
        <v>84.45999999999999</v>
      </c>
      <c r="C7" s="28" t="n">
        <v>1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(Jan27-Jan27)</t>
        </is>
      </c>
      <c r="B8" s="27" t="n">
        <v>84.45999999999999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(Jan27-Mar27)</t>
        </is>
      </c>
      <c r="B9" s="27" t="n">
        <v>84.78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(Apr27-Jun27)</t>
        </is>
      </c>
      <c r="B10" s="27" t="n">
        <v>66.61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(Jul27-Sep27)</t>
        </is>
      </c>
      <c r="B11" s="27" t="n">
        <v>61.87</v>
      </c>
      <c r="C11" s="28" t="n">
        <v>3</v>
      </c>
    </row>
    <row r="12">
      <c r="A12" s="30" t="inlineStr">
        <is>
          <t>Trimestre Q+4 (Oct27-Dec27)</t>
        </is>
      </c>
      <c r="B12" s="27" t="n">
        <v>60.39</v>
      </c>
      <c r="C12" s="28" t="n">
        <v>1</v>
      </c>
    </row>
    <row r="13">
      <c r="A13" s="31" t="inlineStr">
        <is>
          <t>Verano (abr-sep) (Apr27-Sep27)</t>
        </is>
      </c>
      <c r="B13" s="27" t="n">
        <v>64.23</v>
      </c>
      <c r="C13" s="28" t="n">
        <v>0</v>
      </c>
    </row>
    <row r="14">
      <c r="A14" s="31" t="inlineStr">
        <is>
          <t>Invierno (oct-mar) (Oct27-Mar28)</t>
        </is>
      </c>
      <c r="B14" s="27" t="n">
        <v>59</v>
      </c>
      <c r="C14" s="28" t="n">
        <v>0</v>
      </c>
    </row>
    <row r="15">
      <c r="A15" s="31" t="inlineStr">
        <is>
          <t>Año Y+1 (Jan27-Dec27)</t>
        </is>
      </c>
      <c r="B15" s="27" t="n">
        <v>68.33</v>
      </c>
      <c r="C15" s="28" t="n">
        <v>0</v>
      </c>
    </row>
    <row r="16">
      <c r="A16" s="31" t="inlineStr">
        <is>
          <t>Año Y+2 (Jan28-Dec28)</t>
        </is>
      </c>
      <c r="B16" s="27" t="n">
        <v>42.57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MIBGAS_Spot!E21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2026-10-14T22:26:09Z</dcterms:created>
  <dcterms:modified xsi:type="dcterms:W3CDTF">2026-10-14T22:26:09Z</dcterms:modified>
</cp:coreProperties>
</file>