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(Oct-2026)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46296</v>
      </c>
      <c r="E6" s="12" t="n">
        <v>72.98999999999999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46297</v>
      </c>
      <c r="E7" s="12" t="n">
        <v>73.77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46298</v>
      </c>
      <c r="E8" s="12" t="n">
        <v>74.87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46299</v>
      </c>
      <c r="E9" s="12" t="n">
        <v>78.09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46300</v>
      </c>
      <c r="E10" s="12" t="n">
        <v>77.40000000000001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46301</v>
      </c>
      <c r="E11" s="12" t="n">
        <v>73.38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46302</v>
      </c>
      <c r="E12" s="12" t="n">
        <v>75.13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3" t="n">
        <v>46303</v>
      </c>
      <c r="E13" s="12" t="n">
        <v>78.27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3" t="n">
        <v>46304</v>
      </c>
      <c r="E14" s="12" t="n">
        <v>78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13" t="n">
        <v>46305</v>
      </c>
      <c r="E15" s="12" t="n">
        <v>80.48999999999999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D16" s="13" t="n">
        <v>46306</v>
      </c>
      <c r="E16" s="12" t="n">
        <v>80.90000000000001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D17" s="13" t="n">
        <v>46307</v>
      </c>
      <c r="E17" s="12" t="n">
        <v>81.18000000000001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D18" s="13" t="n">
        <v>46308</v>
      </c>
      <c r="E18" s="12" t="n">
        <v>82.89</v>
      </c>
      <c r="J18" s="16" t="inlineStr">
        <is>
          <t>Oct</t>
        </is>
      </c>
      <c r="K18" s="17">
        <f>E30</f>
        <v/>
      </c>
    </row>
    <row r="19">
      <c r="A19" s="11" t="n">
        <v>45323</v>
      </c>
      <c r="B19" s="12" t="n">
        <v>25.5</v>
      </c>
      <c r="D19" s="13" t="n">
        <v>46309</v>
      </c>
      <c r="E19" s="12" t="n">
        <v>86.3</v>
      </c>
    </row>
    <row r="20">
      <c r="A20" s="11" t="n">
        <v>45352</v>
      </c>
      <c r="B20" s="12" t="n">
        <v>26.72</v>
      </c>
      <c r="D20" s="13" t="n">
        <v>46310</v>
      </c>
      <c r="E20" s="12" t="n">
        <v>86.41</v>
      </c>
    </row>
    <row r="21">
      <c r="A21" s="11" t="n">
        <v>45383</v>
      </c>
      <c r="B21" s="12" t="n">
        <v>29.21</v>
      </c>
      <c r="D21" s="13" t="n">
        <v>46311</v>
      </c>
      <c r="E21" s="12" t="n">
        <v>86.68000000000001</v>
      </c>
    </row>
    <row r="22">
      <c r="A22" s="11" t="n">
        <v>45413</v>
      </c>
      <c r="B22" s="12" t="n">
        <v>31.84</v>
      </c>
      <c r="D22" s="13" t="n">
        <v>46312</v>
      </c>
      <c r="E22" s="12" t="n">
        <v>86.98999999999999</v>
      </c>
    </row>
    <row r="23">
      <c r="A23" s="11" t="n">
        <v>45444</v>
      </c>
      <c r="B23" s="12" t="n">
        <v>34.55</v>
      </c>
      <c r="D23" s="13" t="n">
        <v>46313</v>
      </c>
      <c r="E23" s="12" t="n">
        <v>88.31999999999999</v>
      </c>
    </row>
    <row r="24">
      <c r="A24" s="11" t="n">
        <v>45474</v>
      </c>
      <c r="B24" s="12" t="n">
        <v>32.42</v>
      </c>
      <c r="D24" s="13" t="n">
        <v>46314</v>
      </c>
      <c r="E24" s="12" t="n">
        <v>89.38</v>
      </c>
    </row>
    <row r="25">
      <c r="A25" s="11" t="n">
        <v>45505</v>
      </c>
      <c r="B25" s="12" t="n">
        <v>38.45</v>
      </c>
      <c r="D25" s="13" t="n">
        <v>46315</v>
      </c>
      <c r="E25" s="12" t="n">
        <v>87.8</v>
      </c>
    </row>
    <row r="26">
      <c r="A26" s="11" t="n">
        <v>45536</v>
      </c>
      <c r="B26" s="12" t="n">
        <v>36.68</v>
      </c>
      <c r="D26" s="13" t="n">
        <v>46316</v>
      </c>
      <c r="E26" s="12" t="n">
        <v>84.84999999999999</v>
      </c>
    </row>
    <row r="27">
      <c r="A27" s="11" t="n">
        <v>45566</v>
      </c>
      <c r="B27" s="12" t="n">
        <v>40.41</v>
      </c>
      <c r="D27" s="13" t="n">
        <v>46317</v>
      </c>
      <c r="E27" s="12" t="n">
        <v>86.73</v>
      </c>
    </row>
    <row r="28">
      <c r="A28" s="11" t="n">
        <v>45597</v>
      </c>
      <c r="B28" s="12" t="n">
        <v>44.16</v>
      </c>
      <c r="D28" s="13" t="n">
        <v>46318</v>
      </c>
      <c r="E28" s="12" t="n">
        <v>89.18000000000001</v>
      </c>
    </row>
    <row r="29">
      <c r="A29" s="11" t="n">
        <v>45627</v>
      </c>
      <c r="B29" s="12" t="n">
        <v>46.23</v>
      </c>
      <c r="D29" s="18" t="n">
        <v>46319</v>
      </c>
      <c r="E29" s="19" t="n">
        <v>92.53</v>
      </c>
    </row>
    <row r="30">
      <c r="A30" s="11" t="n">
        <v>45658</v>
      </c>
      <c r="B30" s="12" t="n">
        <v>48.47</v>
      </c>
      <c r="D30" s="20" t="inlineStr">
        <is>
          <t>MEDIA MES</t>
        </is>
      </c>
      <c r="E30" s="21">
        <f>AVERAGE(E6:E29)</f>
        <v/>
      </c>
    </row>
    <row r="31">
      <c r="A31" s="11" t="n">
        <v>45689</v>
      </c>
      <c r="B31" s="12" t="n">
        <v>50.4</v>
      </c>
      <c r="D31" s="22" t="inlineStr">
        <is>
          <t>Filas naranjas = entregas futuras ya cotizadas (mañana, pasado).</t>
        </is>
      </c>
    </row>
    <row r="32">
      <c r="A32" s="11" t="n">
        <v>45717</v>
      </c>
      <c r="B32" s="12" t="n">
        <v>41.41</v>
      </c>
    </row>
    <row r="33">
      <c r="A33" s="11" t="n">
        <v>45748</v>
      </c>
      <c r="B33" s="12" t="n">
        <v>33.76</v>
      </c>
    </row>
    <row r="34">
      <c r="A34" s="11" t="n">
        <v>45778</v>
      </c>
      <c r="B34" s="12" t="n">
        <v>34.02</v>
      </c>
    </row>
    <row r="35">
      <c r="A35" s="11" t="n">
        <v>45809</v>
      </c>
      <c r="B35" s="12" t="n">
        <v>36.67</v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12" t="n">
        <v>61.87</v>
      </c>
    </row>
    <row r="50">
      <c r="A50" s="11" t="n">
        <v>46266</v>
      </c>
      <c r="B50" s="12" t="n">
        <v>77.56</v>
      </c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J4:K4"/>
    <mergeCell ref="A4"/>
    <mergeCell ref="A1:L1"/>
    <mergeCell ref="A2:H3"/>
    <mergeCell ref="D4:E4"/>
    <mergeCell ref="D31:H31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29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46318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(Nov26-Nov26)</t>
        </is>
      </c>
      <c r="B6" s="27" t="n">
        <v>92.59999999999999</v>
      </c>
      <c r="C6" s="28" t="n">
        <v>1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(Dec26-Dec26)</t>
        </is>
      </c>
      <c r="B7" s="27" t="n">
        <v>92.65000000000001</v>
      </c>
      <c r="C7" s="28" t="n">
        <v>1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(Jan27-Jan27)</t>
        </is>
      </c>
      <c r="B8" s="27" t="n">
        <v>92.8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(Jan27-Mar27)</t>
        </is>
      </c>
      <c r="B9" s="27" t="n">
        <v>91.59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(Apr27-Jun27)</t>
        </is>
      </c>
      <c r="B10" s="27" t="n">
        <v>73.45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(Jul27-Sep27)</t>
        </is>
      </c>
      <c r="B11" s="27" t="n">
        <v>68.63</v>
      </c>
      <c r="C11" s="28" t="n">
        <v>3</v>
      </c>
    </row>
    <row r="12">
      <c r="A12" s="30" t="inlineStr">
        <is>
          <t>Trimestre Q+4 (Oct27-Dec27)</t>
        </is>
      </c>
      <c r="B12" s="27" t="n">
        <v>66.63</v>
      </c>
      <c r="C12" s="28" t="n">
        <v>1</v>
      </c>
    </row>
    <row r="13">
      <c r="A13" s="31" t="inlineStr">
        <is>
          <t>Verano (abr-sep) (Apr27-Sep27)</t>
        </is>
      </c>
      <c r="B13" s="27" t="n">
        <v>71.5</v>
      </c>
      <c r="C13" s="28" t="n">
        <v>0</v>
      </c>
    </row>
    <row r="14">
      <c r="A14" s="31" t="inlineStr">
        <is>
          <t>Invierno (oct-mar) (Oct27-Mar28)</t>
        </is>
      </c>
      <c r="B14" s="27" t="n">
        <v>65.11</v>
      </c>
      <c r="C14" s="28" t="n">
        <v>0</v>
      </c>
    </row>
    <row r="15">
      <c r="A15" s="31" t="inlineStr">
        <is>
          <t>Año Y+1 (Jan27-Dec27)</t>
        </is>
      </c>
      <c r="B15" s="27" t="n">
        <v>76</v>
      </c>
      <c r="C15" s="28" t="n">
        <v>0</v>
      </c>
    </row>
    <row r="16">
      <c r="A16" s="31" t="inlineStr">
        <is>
          <t>Año Y+2 (Jan28-Dec28)</t>
        </is>
      </c>
      <c r="B16" s="27" t="n">
        <v>48.45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MIBGAS_Spot!E30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2026-10-23T22:25:45Z</dcterms:created>
  <dcterms:modified xsi:type="dcterms:W3CDTF">2026-10-23T22:25:45Z</dcterms:modified>
</cp:coreProperties>
</file>