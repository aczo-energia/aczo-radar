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(Sep-2026)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46266</v>
      </c>
      <c r="E6" s="12" t="n">
        <v>70.27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46267</v>
      </c>
      <c r="E7" s="12" t="n">
        <v>72.48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46268</v>
      </c>
      <c r="E8" s="12" t="n">
        <v>73.91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46269</v>
      </c>
      <c r="E9" s="12" t="n">
        <v>72.09999999999999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46270</v>
      </c>
      <c r="E10" s="12" t="n">
        <v>72.84999999999999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46271</v>
      </c>
      <c r="E11" s="12" t="n">
        <v>79.03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46272</v>
      </c>
      <c r="E12" s="12" t="n">
        <v>77.63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46273</v>
      </c>
      <c r="E13" s="12" t="n">
        <v>74.76000000000001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46274</v>
      </c>
      <c r="E14" s="12" t="n">
        <v>77.44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46275</v>
      </c>
      <c r="E15" s="12" t="n">
        <v>80.77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46276</v>
      </c>
      <c r="E16" s="12" t="n">
        <v>83.45999999999999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46277</v>
      </c>
      <c r="E17" s="12" t="n">
        <v>81.36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46278</v>
      </c>
      <c r="E18" s="12" t="n">
        <v>82.93000000000001</v>
      </c>
      <c r="J18" s="16" t="inlineStr">
        <is>
          <t>Sep</t>
        </is>
      </c>
      <c r="K18" s="17">
        <f>E28</f>
        <v/>
      </c>
    </row>
    <row r="19">
      <c r="A19" s="11" t="n">
        <v>45323</v>
      </c>
      <c r="B19" s="12" t="n">
        <v>25.5</v>
      </c>
      <c r="D19" s="13" t="n">
        <v>46279</v>
      </c>
      <c r="E19" s="12" t="n">
        <v>84.95999999999999</v>
      </c>
    </row>
    <row r="20">
      <c r="A20" s="11" t="n">
        <v>45352</v>
      </c>
      <c r="B20" s="12" t="n">
        <v>26.72</v>
      </c>
      <c r="D20" s="13" t="n">
        <v>46280</v>
      </c>
      <c r="E20" s="12" t="n">
        <v>85.70999999999999</v>
      </c>
    </row>
    <row r="21">
      <c r="A21" s="11" t="n">
        <v>45383</v>
      </c>
      <c r="B21" s="12" t="n">
        <v>29.21</v>
      </c>
      <c r="D21" s="13" t="n">
        <v>46281</v>
      </c>
      <c r="E21" s="12" t="n">
        <v>83.09999999999999</v>
      </c>
    </row>
    <row r="22">
      <c r="A22" s="11" t="n">
        <v>45413</v>
      </c>
      <c r="B22" s="12" t="n">
        <v>31.84</v>
      </c>
      <c r="D22" s="13" t="n">
        <v>46282</v>
      </c>
      <c r="E22" s="12" t="n">
        <v>80.23999999999999</v>
      </c>
    </row>
    <row r="23">
      <c r="A23" s="11" t="n">
        <v>45444</v>
      </c>
      <c r="B23" s="12" t="n">
        <v>34.55</v>
      </c>
      <c r="D23" s="13" t="n">
        <v>46283</v>
      </c>
      <c r="E23" s="12" t="n">
        <v>78.81</v>
      </c>
    </row>
    <row r="24">
      <c r="A24" s="11" t="n">
        <v>45474</v>
      </c>
      <c r="B24" s="12" t="n">
        <v>32.42</v>
      </c>
      <c r="D24" s="13" t="n">
        <v>46284</v>
      </c>
      <c r="E24" s="12" t="n">
        <v>81.95999999999999</v>
      </c>
    </row>
    <row r="25">
      <c r="A25" s="11" t="n">
        <v>45505</v>
      </c>
      <c r="B25" s="12" t="n">
        <v>38.45</v>
      </c>
      <c r="D25" s="13" t="n">
        <v>46285</v>
      </c>
      <c r="E25" s="12" t="n">
        <v>81.2</v>
      </c>
    </row>
    <row r="26">
      <c r="A26" s="11" t="n">
        <v>45536</v>
      </c>
      <c r="B26" s="12" t="n">
        <v>36.68</v>
      </c>
      <c r="D26" s="13" t="n">
        <v>46286</v>
      </c>
      <c r="E26" s="12" t="n">
        <v>83.8</v>
      </c>
    </row>
    <row r="27">
      <c r="A27" s="11" t="n">
        <v>45566</v>
      </c>
      <c r="B27" s="12" t="n">
        <v>40.41</v>
      </c>
      <c r="D27" s="18" t="n">
        <v>46287</v>
      </c>
      <c r="E27" s="19" t="n">
        <v>75.53</v>
      </c>
    </row>
    <row r="28">
      <c r="A28" s="11" t="n">
        <v>45597</v>
      </c>
      <c r="B28" s="12" t="n">
        <v>44.16</v>
      </c>
      <c r="D28" s="20" t="inlineStr">
        <is>
          <t>MEDIA MES</t>
        </is>
      </c>
      <c r="E28" s="21">
        <f>AVERAGE(E6:E27)</f>
        <v/>
      </c>
    </row>
    <row r="29">
      <c r="A29" s="11" t="n">
        <v>45627</v>
      </c>
      <c r="B29" s="12" t="n">
        <v>46.23</v>
      </c>
      <c r="D29" s="22" t="inlineStr">
        <is>
          <t>Filas naranjas = entregas futuras ya cotizadas (mañana, pasado).</t>
        </is>
      </c>
    </row>
    <row r="30">
      <c r="A30" s="11" t="n">
        <v>45658</v>
      </c>
      <c r="B30" s="12" t="n">
        <v>48.47</v>
      </c>
    </row>
    <row r="31">
      <c r="A31" s="11" t="n">
        <v>45689</v>
      </c>
      <c r="B31" s="12" t="n">
        <v>50.4</v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12" t="n">
        <v>61.87</v>
      </c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29:H29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7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46286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(Oct26-Oct26)</t>
        </is>
      </c>
      <c r="B6" s="27" t="n">
        <v>74.83</v>
      </c>
      <c r="C6" s="28" t="n">
        <v>0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(Nov26-Nov26)</t>
        </is>
      </c>
      <c r="B7" s="27" t="n">
        <v>72.58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(Dec26-Dec26)</t>
        </is>
      </c>
      <c r="B8" s="27" t="n">
        <v>75.2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72.77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70.90000000000001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55.65</v>
      </c>
      <c r="C11" s="28" t="n">
        <v>3</v>
      </c>
    </row>
    <row r="12">
      <c r="A12" s="30" t="inlineStr">
        <is>
          <t>Trimestre Q+4 (Jul27-Sep27)</t>
        </is>
      </c>
      <c r="B12" s="27" t="n">
        <v>51.78</v>
      </c>
      <c r="C12" s="28" t="n">
        <v>3</v>
      </c>
    </row>
    <row r="13">
      <c r="A13" s="31" t="inlineStr">
        <is>
          <t>Verano (abr-sep) (Apr27-Sep27)</t>
        </is>
      </c>
      <c r="B13" s="27" t="n">
        <v>53.7</v>
      </c>
      <c r="C13" s="28" t="n">
        <v>0</v>
      </c>
    </row>
    <row r="14">
      <c r="A14" s="31" t="inlineStr">
        <is>
          <t>Invierno (oct-mar) (Oct26-Mar27)</t>
        </is>
      </c>
      <c r="B14" s="27" t="n">
        <v>71.84999999999999</v>
      </c>
      <c r="C14" s="28" t="n">
        <v>0</v>
      </c>
    </row>
    <row r="15">
      <c r="A15" s="31" t="inlineStr">
        <is>
          <t>Año Y+1 (Jan27-Dec27)</t>
        </is>
      </c>
      <c r="B15" s="27" t="n">
        <v>57.28</v>
      </c>
      <c r="C15" s="28" t="n">
        <v>0</v>
      </c>
    </row>
    <row r="16">
      <c r="A16" s="31" t="inlineStr">
        <is>
          <t>Año Y+2 (Jan28-Dec28)</t>
        </is>
      </c>
      <c r="B16" s="27" t="n">
        <v>37.33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MIBGAS_Spot!E28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2026-09-21T22:40:35Z</dcterms:created>
  <dcterms:modified xsi:type="dcterms:W3CDTF">2026-09-21T22:40:35Z</dcterms:modified>
</cp:coreProperties>
</file>