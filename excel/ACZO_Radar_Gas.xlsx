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(Oct-2026)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46296</v>
      </c>
      <c r="E6" s="12" t="n">
        <v>72.98999999999999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46297</v>
      </c>
      <c r="E7" s="12" t="n">
        <v>73.77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46298</v>
      </c>
      <c r="E8" s="12" t="n">
        <v>74.87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46299</v>
      </c>
      <c r="E9" s="12" t="n">
        <v>78.09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6" t="n">
        <v>46300</v>
      </c>
      <c r="E10" s="17" t="n">
        <v>77.40000000000001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8" t="inlineStr">
        <is>
          <t>MEDIA MES</t>
        </is>
      </c>
      <c r="E11" s="19">
        <f>AVERAGE(E6:E10)</f>
        <v/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20" t="inlineStr">
        <is>
          <t>Filas naranjas = entregas futuras ya cotizadas (mañana, pasado).</t>
        </is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J18" s="21" t="inlineStr">
        <is>
          <t>Oct</t>
        </is>
      </c>
      <c r="K18" s="22">
        <f>E11</f>
        <v/>
      </c>
    </row>
    <row r="19">
      <c r="A19" s="11" t="n">
        <v>45323</v>
      </c>
      <c r="B19" s="12" t="n">
        <v>25.5</v>
      </c>
    </row>
    <row r="20">
      <c r="A20" s="11" t="n">
        <v>45352</v>
      </c>
      <c r="B20" s="12" t="n">
        <v>26.72</v>
      </c>
    </row>
    <row r="21">
      <c r="A21" s="11" t="n">
        <v>45383</v>
      </c>
      <c r="B21" s="12" t="n">
        <v>29.21</v>
      </c>
    </row>
    <row r="22">
      <c r="A22" s="11" t="n">
        <v>45413</v>
      </c>
      <c r="B22" s="12" t="n">
        <v>31.84</v>
      </c>
    </row>
    <row r="23">
      <c r="A23" s="11" t="n">
        <v>45444</v>
      </c>
      <c r="B23" s="12" t="n">
        <v>34.55</v>
      </c>
    </row>
    <row r="24">
      <c r="A24" s="11" t="n">
        <v>45474</v>
      </c>
      <c r="B24" s="12" t="n">
        <v>32.42</v>
      </c>
    </row>
    <row r="25">
      <c r="A25" s="11" t="n">
        <v>45505</v>
      </c>
      <c r="B25" s="12" t="n">
        <v>38.45</v>
      </c>
    </row>
    <row r="26">
      <c r="A26" s="11" t="n">
        <v>45536</v>
      </c>
      <c r="B26" s="12" t="n">
        <v>36.68</v>
      </c>
    </row>
    <row r="27">
      <c r="A27" s="11" t="n">
        <v>45566</v>
      </c>
      <c r="B27" s="12" t="n">
        <v>40.41</v>
      </c>
    </row>
    <row r="28">
      <c r="A28" s="11" t="n">
        <v>45597</v>
      </c>
      <c r="B28" s="12" t="n">
        <v>44.16</v>
      </c>
    </row>
    <row r="29">
      <c r="A29" s="11" t="n">
        <v>45627</v>
      </c>
      <c r="B29" s="12" t="n">
        <v>46.23</v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12" t="n">
        <v>77.56</v>
      </c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D12:H12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1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46297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(Nov26-Nov26)</t>
        </is>
      </c>
      <c r="B6" s="27" t="n">
        <v>71.83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(Dec26-Dec26)</t>
        </is>
      </c>
      <c r="B7" s="27" t="n">
        <v>73.09</v>
      </c>
      <c r="C7" s="28" t="n">
        <v>1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(Jan27-Jan27)</t>
        </is>
      </c>
      <c r="B8" s="27" t="n">
        <v>74.05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(Jan27-Mar27)</t>
        </is>
      </c>
      <c r="B9" s="27" t="n">
        <v>72.15000000000001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(Apr27-Jun27)</t>
        </is>
      </c>
      <c r="B10" s="27" t="n">
        <v>57.63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(Jul27-Sep27)</t>
        </is>
      </c>
      <c r="B11" s="27" t="n">
        <v>53.64</v>
      </c>
      <c r="C11" s="28" t="n">
        <v>3</v>
      </c>
    </row>
    <row r="12">
      <c r="A12" s="30" t="inlineStr">
        <is>
          <t>Trimestre Q+4 (Oct27-Dec27)</t>
        </is>
      </c>
      <c r="B12" s="27" t="n">
        <v>52.79</v>
      </c>
      <c r="C12" s="28" t="n">
        <v>1</v>
      </c>
    </row>
    <row r="13">
      <c r="A13" s="31" t="inlineStr">
        <is>
          <t>Verano (abr-sep) (Apr27-Sep27)</t>
        </is>
      </c>
      <c r="B13" s="27" t="n">
        <v>55.63</v>
      </c>
      <c r="C13" s="28" t="n">
        <v>0</v>
      </c>
    </row>
    <row r="14">
      <c r="A14" s="31" t="inlineStr">
        <is>
          <t>Invierno (oct-mar) (Oct27-Mar28)</t>
        </is>
      </c>
      <c r="B14" s="27" t="n">
        <v>51.48</v>
      </c>
      <c r="C14" s="28" t="n">
        <v>0</v>
      </c>
    </row>
    <row r="15">
      <c r="A15" s="31" t="inlineStr">
        <is>
          <t>Año Y+1 (Jan27-Dec27)</t>
        </is>
      </c>
      <c r="B15" s="27" t="n">
        <v>58.15</v>
      </c>
      <c r="C15" s="28" t="n">
        <v>0</v>
      </c>
    </row>
    <row r="16">
      <c r="A16" s="31" t="inlineStr">
        <is>
          <t>Año Y+2 (Jan28-Dec28)</t>
        </is>
      </c>
      <c r="B16" s="27" t="n">
        <v>39.16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MIBGAS_Spot!E11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2026-10-04T22:24:01Z</dcterms:created>
  <dcterms:modified xsi:type="dcterms:W3CDTF">2026-10-04T22:24:01Z</dcterms:modified>
</cp:coreProperties>
</file>