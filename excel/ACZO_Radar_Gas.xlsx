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(Oct-2026)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46296</v>
      </c>
      <c r="E6" s="12" t="n">
        <v>72.98999999999999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46297</v>
      </c>
      <c r="E7" s="12" t="n">
        <v>73.77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46298</v>
      </c>
      <c r="E8" s="12" t="n">
        <v>74.87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46299</v>
      </c>
      <c r="E9" s="12" t="n">
        <v>78.09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46300</v>
      </c>
      <c r="E10" s="12" t="n">
        <v>77.40000000000001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46301</v>
      </c>
      <c r="E11" s="12" t="n">
        <v>73.38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6" t="inlineStr">
        <is>
          <t>MEDIA MES</t>
        </is>
      </c>
      <c r="E12" s="17">
        <f>AVERAGE(E6:E11)</f>
        <v/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8" t="inlineStr">
        <is>
          <t>Filas naranjas = entregas futuras ya cotizadas (mañana, pasado).</t>
        </is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J18" s="19" t="inlineStr">
        <is>
          <t>Oct</t>
        </is>
      </c>
      <c r="K18" s="20">
        <f>E12</f>
        <v/>
      </c>
    </row>
    <row r="19">
      <c r="A19" s="11" t="n">
        <v>45323</v>
      </c>
      <c r="B19" s="12" t="n">
        <v>25.5</v>
      </c>
    </row>
    <row r="20">
      <c r="A20" s="11" t="n">
        <v>45352</v>
      </c>
      <c r="B20" s="12" t="n">
        <v>26.72</v>
      </c>
    </row>
    <row r="21">
      <c r="A21" s="11" t="n">
        <v>45383</v>
      </c>
      <c r="B21" s="12" t="n">
        <v>29.21</v>
      </c>
    </row>
    <row r="22">
      <c r="A22" s="11" t="n">
        <v>45413</v>
      </c>
      <c r="B22" s="12" t="n">
        <v>31.84</v>
      </c>
    </row>
    <row r="23">
      <c r="A23" s="11" t="n">
        <v>45444</v>
      </c>
      <c r="B23" s="12" t="n">
        <v>34.55</v>
      </c>
    </row>
    <row r="24">
      <c r="A24" s="11" t="n">
        <v>45474</v>
      </c>
      <c r="B24" s="12" t="n">
        <v>32.42</v>
      </c>
    </row>
    <row r="25">
      <c r="A25" s="11" t="n">
        <v>45505</v>
      </c>
      <c r="B25" s="12" t="n">
        <v>38.45</v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12" t="n">
        <v>77.56</v>
      </c>
    </row>
    <row r="51">
      <c r="A51" s="11" t="n">
        <v>46296</v>
      </c>
      <c r="B51" s="21" t="n"/>
    </row>
    <row r="52">
      <c r="A52" s="11" t="n">
        <v>46327</v>
      </c>
      <c r="B52" s="21" t="n"/>
    </row>
    <row r="53">
      <c r="A53" s="11" t="n">
        <v>46357</v>
      </c>
      <c r="B53" s="21" t="n"/>
    </row>
    <row r="54">
      <c r="A54" s="11" t="n">
        <v>46388</v>
      </c>
      <c r="B54" s="21" t="n"/>
    </row>
    <row r="55">
      <c r="A55" s="11" t="n">
        <v>46419</v>
      </c>
      <c r="B55" s="21" t="n"/>
    </row>
    <row r="56">
      <c r="A56" s="11" t="n">
        <v>46447</v>
      </c>
      <c r="B56" s="21" t="n"/>
    </row>
    <row r="57">
      <c r="A57" s="11" t="n">
        <v>46478</v>
      </c>
      <c r="B57" s="21" t="n"/>
    </row>
    <row r="58">
      <c r="A58" s="11" t="n">
        <v>46508</v>
      </c>
      <c r="B58" s="21" t="n"/>
    </row>
    <row r="59">
      <c r="A59" s="11" t="n">
        <v>46539</v>
      </c>
      <c r="B59" s="21" t="n"/>
    </row>
    <row r="60">
      <c r="A60" s="11" t="n">
        <v>46569</v>
      </c>
      <c r="B60" s="21" t="n"/>
    </row>
    <row r="61">
      <c r="A61" s="11" t="n">
        <v>46600</v>
      </c>
      <c r="B61" s="21" t="n"/>
    </row>
    <row r="62">
      <c r="A62" s="11" t="n">
        <v>46631</v>
      </c>
      <c r="B62" s="21" t="n"/>
    </row>
    <row r="63">
      <c r="A63" s="11" t="n">
        <v>46661</v>
      </c>
      <c r="B63" s="21" t="n"/>
    </row>
    <row r="64">
      <c r="A64" s="11" t="n">
        <v>46692</v>
      </c>
      <c r="B64" s="21" t="n"/>
    </row>
    <row r="65">
      <c r="A65" s="11" t="n">
        <v>46722</v>
      </c>
      <c r="B65" s="21" t="n"/>
    </row>
  </sheetData>
  <mergeCells count="6">
    <mergeCell ref="J4:K4"/>
    <mergeCell ref="A4"/>
    <mergeCell ref="A1:L1"/>
    <mergeCell ref="D13:H13"/>
    <mergeCell ref="A2:H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11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2" t="inlineStr">
        <is>
          <t>Fecha de la curva:</t>
        </is>
      </c>
      <c r="B4" s="23" t="n">
        <v>46300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4" t="inlineStr">
        <is>
          <t>Mes M+1 (Nov26-Nov26)</t>
        </is>
      </c>
      <c r="B6" s="25" t="n">
        <v>73.51000000000001</v>
      </c>
      <c r="C6" s="26" t="n">
        <v>1</v>
      </c>
      <c r="E6" s="27" t="inlineStr">
        <is>
          <t>· Forward &gt; spot (contango): el mercado espera gas más caro — renovar pronto y revisar fijaciones.</t>
        </is>
      </c>
    </row>
    <row r="7" ht="24" customHeight="1">
      <c r="A7" s="24" t="inlineStr">
        <is>
          <t>Mes M+2 (Dec26-Dec26)</t>
        </is>
      </c>
      <c r="B7" s="25" t="n">
        <v>72.92</v>
      </c>
      <c r="C7" s="26" t="n">
        <v>1</v>
      </c>
      <c r="E7" s="27" t="inlineStr">
        <is>
          <t>· Forward &lt; spot (backwardation): el mercado espera relajación — favorece indexado y esperar.</t>
        </is>
      </c>
    </row>
    <row r="8" ht="24" customHeight="1">
      <c r="A8" s="24" t="inlineStr">
        <is>
          <t>Mes M+3 (Jan27-Jan27)</t>
        </is>
      </c>
      <c r="B8" s="25" t="n">
        <v>72.3</v>
      </c>
      <c r="C8" s="26" t="n">
        <v>0</v>
      </c>
      <c r="E8" s="27" t="inlineStr">
        <is>
          <t>· Estacionalidad estructural: el invierno (GSES_W) cotiza por encima del verano (GSES_S). Un fijo anual promedia las dos.</t>
        </is>
      </c>
    </row>
    <row r="9" ht="24" customHeight="1">
      <c r="A9" s="28" t="inlineStr">
        <is>
          <t>Trimestre Q+1 (Jan27-Mar27)</t>
        </is>
      </c>
      <c r="B9" s="25" t="n">
        <v>72.05</v>
      </c>
      <c r="C9" s="26" t="n">
        <v>3</v>
      </c>
      <c r="E9" s="27" t="inlineStr">
        <is>
          <t>· Control de plausibilidad de ofertas (ficha de gas): energía sin peajes esperada ≈ forward + 15-25 €/MWh de margen.</t>
        </is>
      </c>
    </row>
    <row r="10" ht="24" customHeight="1">
      <c r="A10" s="28" t="inlineStr">
        <is>
          <t>Trimestre Q+2 (Apr27-Jun27)</t>
        </is>
      </c>
      <c r="B10" s="25" t="n">
        <v>57.17</v>
      </c>
      <c r="C10" s="26" t="n">
        <v>3</v>
      </c>
      <c r="E10" s="27" t="inlineStr">
        <is>
          <t>· El precio TUR de materia prima se referencia a MIBGAS: esta curva ANTICIPA los reprecios trimestrales de la TUR (ene/abr/jul/oct).</t>
        </is>
      </c>
    </row>
    <row r="11">
      <c r="A11" s="28" t="inlineStr">
        <is>
          <t>Trimestre Q+3 (Jul27-Sep27)</t>
        </is>
      </c>
      <c r="B11" s="25" t="n">
        <v>53.7</v>
      </c>
      <c r="C11" s="26" t="n">
        <v>3</v>
      </c>
    </row>
    <row r="12">
      <c r="A12" s="28" t="inlineStr">
        <is>
          <t>Trimestre Q+4 (Oct27-Dec27)</t>
        </is>
      </c>
      <c r="B12" s="25" t="n">
        <v>52.6</v>
      </c>
      <c r="C12" s="26" t="n">
        <v>1</v>
      </c>
    </row>
    <row r="13">
      <c r="A13" s="29" t="inlineStr">
        <is>
          <t>Verano (abr-sep) (Apr27-Sep27)</t>
        </is>
      </c>
      <c r="B13" s="25" t="n">
        <v>55.43</v>
      </c>
      <c r="C13" s="26" t="n">
        <v>0</v>
      </c>
    </row>
    <row r="14">
      <c r="A14" s="29" t="inlineStr">
        <is>
          <t>Invierno (oct-mar) (Oct27-Mar28)</t>
        </is>
      </c>
      <c r="B14" s="25" t="n">
        <v>51.32</v>
      </c>
      <c r="C14" s="26" t="n">
        <v>0</v>
      </c>
    </row>
    <row r="15">
      <c r="A15" s="29" t="inlineStr">
        <is>
          <t>Año Y+1 (Jan27-Dec27)</t>
        </is>
      </c>
      <c r="B15" s="25" t="n">
        <v>58.85</v>
      </c>
      <c r="C15" s="26" t="n">
        <v>0</v>
      </c>
    </row>
    <row r="16">
      <c r="A16" s="29" t="inlineStr">
        <is>
          <t>Año Y+2 (Jan28-Dec28)</t>
        </is>
      </c>
      <c r="B16" s="25" t="n">
        <v>39.06</v>
      </c>
      <c r="C16" s="26" t="n">
        <v>0</v>
      </c>
    </row>
    <row r="18">
      <c r="A18" s="30" t="inlineStr">
        <is>
          <t>Suma de pesos (debe ser 12)</t>
        </is>
      </c>
      <c r="B18" s="31">
        <f>SUM(C6:C16)</f>
        <v/>
      </c>
      <c r="C18" s="22">
        <f>IF(B18=12,"OK","⚠")</f>
        <v/>
      </c>
    </row>
    <row r="19">
      <c r="A19" s="32" t="inlineStr">
        <is>
          <t>FORWARD PRÓXIMOS 12 MESES (€/MWh)</t>
        </is>
      </c>
      <c r="B19" s="33">
        <f>SUMPRODUCT(B6:B16,C6:C16)/SUM(C6:C16)</f>
        <v/>
      </c>
    </row>
    <row r="20">
      <c r="A20" s="30" t="inlineStr">
        <is>
          <t>Spot del mes en curso (€/MWh)</t>
        </is>
      </c>
      <c r="B20" s="31">
        <f>MIBGAS_Spot!E12</f>
        <v/>
      </c>
    </row>
    <row r="21">
      <c r="A21" s="30" t="inlineStr">
        <is>
          <t>Contango/backwardation (forward − spot)</t>
        </is>
      </c>
      <c r="B21" s="31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2026-10-06T00:53:43Z</dcterms:created>
  <dcterms:modified xsi:type="dcterms:W3CDTF">2026-10-06T00:53:43Z</dcterms:modified>
</cp:coreProperties>
</file>