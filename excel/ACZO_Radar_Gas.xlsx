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6" t="n">
        <v>46270</v>
      </c>
      <c r="E10" s="17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8" t="inlineStr">
        <is>
          <t>MEDIA MES</t>
        </is>
      </c>
      <c r="E11" s="19">
        <f>AVERAGE(E6:E10)</f>
        <v/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20" t="inlineStr">
        <is>
          <t>Filas naranjas = entregas futuras ya cotizadas (mañana, pasado).</t>
        </is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Sep</t>
        </is>
      </c>
      <c r="K18" s="22">
        <f>E11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12:H12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46269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70.53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70.15000000000001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70.25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70.7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66.92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50.07</v>
      </c>
      <c r="C11" s="28" t="n">
        <v>3</v>
      </c>
    </row>
    <row r="12">
      <c r="A12" s="30" t="inlineStr">
        <is>
          <t>Trimestre Q+4 (Jul27-Sep27)</t>
        </is>
      </c>
      <c r="B12" s="27" t="n">
        <v>46.73</v>
      </c>
      <c r="C12" s="28" t="n">
        <v>3</v>
      </c>
    </row>
    <row r="13">
      <c r="A13" s="31" t="inlineStr">
        <is>
          <t>Verano (abr-sep) (Apr27-Sep27)</t>
        </is>
      </c>
      <c r="B13" s="27" t="n">
        <v>48.39</v>
      </c>
      <c r="C13" s="28" t="n">
        <v>0</v>
      </c>
    </row>
    <row r="14">
      <c r="A14" s="31" t="inlineStr">
        <is>
          <t>Invierno (oct-mar) (Oct26-Mar27)</t>
        </is>
      </c>
      <c r="B14" s="27" t="n">
        <v>69.08</v>
      </c>
      <c r="C14" s="28" t="n">
        <v>0</v>
      </c>
    </row>
    <row r="15">
      <c r="A15" s="31" t="inlineStr">
        <is>
          <t>Año Y+1 (Jan27-Dec27)</t>
        </is>
      </c>
      <c r="B15" s="27" t="n">
        <v>52.43</v>
      </c>
      <c r="C15" s="28" t="n">
        <v>0</v>
      </c>
    </row>
    <row r="16">
      <c r="A16" s="31" t="inlineStr">
        <is>
          <t>Año Y+2 (Jan28-Dec28)</t>
        </is>
      </c>
      <c r="B16" s="27" t="n">
        <v>34.58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2026-09-04T21:36:26Z</dcterms:created>
  <dcterms:modified xsi:type="dcterms:W3CDTF">2026-09-04T21:36:26Z</dcterms:modified>
</cp:coreProperties>
</file>