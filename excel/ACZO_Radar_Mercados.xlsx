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IFERROR(DATE(YEAR(MAX(PQ_Diario!A:A)),MONTH(MAX(PQ_Diario!A:A)),1),DATE(2026,10,1))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38.95</v>
      </c>
      <c r="W6" s="20" t="n">
        <v>152.01</v>
      </c>
      <c r="X6" s="20" t="n">
        <v>258.32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112.5</v>
      </c>
      <c r="W7" s="20" t="n">
        <v>177.72</v>
      </c>
      <c r="X7" s="20" t="n">
        <v>279.83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63.94</v>
      </c>
      <c r="W8" s="20" t="n">
        <v>166.6</v>
      </c>
      <c r="X8" s="20" t="n">
        <v>238.7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70.69</v>
      </c>
      <c r="W9" s="20" t="n">
        <v>171.85</v>
      </c>
      <c r="X9" s="20" t="n">
        <v>245.07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130</v>
      </c>
      <c r="W10" s="20" t="n">
        <v>196.88</v>
      </c>
      <c r="X10" s="20" t="n">
        <v>271.93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147.09</v>
      </c>
      <c r="W11" s="20" t="n">
        <v>201.99</v>
      </c>
      <c r="X11" s="20" t="n">
        <v>281.31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80.8</v>
      </c>
      <c r="W12" s="20" t="n">
        <v>182.33</v>
      </c>
      <c r="X12" s="20" t="n">
        <v>245.9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0</v>
      </c>
      <c r="W13" s="20" t="n">
        <v>106.9</v>
      </c>
      <c r="X13" s="20" t="n">
        <v>204.5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0</v>
      </c>
      <c r="W14" s="20" t="n">
        <v>107.37</v>
      </c>
      <c r="X14" s="20" t="n">
        <v>205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-0.01</v>
      </c>
      <c r="W15" s="20" t="n">
        <v>130</v>
      </c>
      <c r="X15" s="20" t="n">
        <v>219.66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0.51</v>
      </c>
      <c r="W16" s="20" t="n">
        <v>141.49</v>
      </c>
      <c r="X16" s="20" t="n">
        <v>241.59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0</v>
      </c>
      <c r="W17" s="20" t="n">
        <v>151.76</v>
      </c>
      <c r="X17" s="20" t="n">
        <v>273.01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25</v>
      </c>
      <c r="W18" s="20" t="n">
        <v>166.63</v>
      </c>
      <c r="X18" s="20" t="n">
        <v>269.29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IF($H19="","",IFERROR(VLOOKUP($H19,PQ_Diario!$A:$D,2,0),""))</f>
        <v/>
      </c>
      <c r="J19" s="17">
        <f>IF($H19="","",IFERROR(VLOOKUP($H19,PQ_Diario!$A:$D,3,0),""))</f>
        <v/>
      </c>
      <c r="K19" s="17">
        <f>IF($H19="","",IFERROR(VLOOKUP($H19,PQ_Diario!$A:$D,4,0),""))</f>
        <v/>
      </c>
      <c r="S19" s="19" t="n">
        <v>0.04724</v>
      </c>
      <c r="T19" s="19" t="n">
        <v>0.04088</v>
      </c>
      <c r="U19" s="19" t="n">
        <v>0.03621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IF($H20="","",IFERROR(VLOOKUP($H20,PQ_Diario!$A:$D,2,0),""))</f>
        <v/>
      </c>
      <c r="J20" s="17">
        <f>IF($H20="","",IFERROR(VLOOKUP($H20,PQ_Diario!$A:$D,3,0),""))</f>
        <v/>
      </c>
      <c r="K20" s="17">
        <f>IF($H20="","",IFERROR(VLOOKUP($H20,PQ_Diario!$A:$D,4,0),""))</f>
        <v/>
      </c>
      <c r="S20" s="19" t="n">
        <v>0.03233</v>
      </c>
      <c r="T20" s="19" t="n">
        <v>0.02246</v>
      </c>
      <c r="U20" s="19" t="n">
        <v>0.01494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IF($H21="","",IFERROR(VLOOKUP($H21,PQ_Diario!$A:$D,2,0),""))</f>
        <v/>
      </c>
      <c r="J21" s="17">
        <f>IF($H21="","",IFERROR(VLOOKUP($H21,PQ_Diario!$A:$D,3,0),""))</f>
        <v/>
      </c>
      <c r="K21" s="17">
        <f>IF($H21="","",IFERROR(VLOOKUP($H21,PQ_Diario!$A:$D,4,0),""))</f>
        <v/>
      </c>
      <c r="S21" s="19" t="n">
        <v>0.01418</v>
      </c>
      <c r="T21" s="19" t="n">
        <v>0.0138</v>
      </c>
      <c r="U21" s="19" t="n">
        <v>0.01337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IF($H22="","",IFERROR(VLOOKUP($H22,PQ_Diario!$A:$D,2,0),""))</f>
        <v/>
      </c>
      <c r="J22" s="17">
        <f>IF($H22="","",IFERROR(VLOOKUP($H22,PQ_Diario!$A:$D,3,0),""))</f>
        <v/>
      </c>
      <c r="K22" s="17">
        <f>IF($H22="","",IFERROR(VLOOKUP($H22,PQ_Diario!$A:$D,4,0),""))</f>
        <v/>
      </c>
      <c r="S22" s="19" t="n">
        <v>0.02666</v>
      </c>
      <c r="T22" s="19" t="n">
        <v>0.02822</v>
      </c>
      <c r="U22" s="19" t="n">
        <v>0.03306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IF($H23="","",IFERROR(VLOOKUP($H23,PQ_Diario!$A:$D,2,0),""))</f>
        <v/>
      </c>
      <c r="J23" s="17">
        <f>IF($H23="","",IFERROR(VLOOKUP($H23,PQ_Diario!$A:$D,3,0),""))</f>
        <v/>
      </c>
      <c r="K23" s="17">
        <f>IF($H23="","",IFERROR(VLOOKUP($H23,PQ_Diario!$A:$D,4,0),""))</f>
        <v/>
      </c>
      <c r="S23" s="19" t="n">
        <v>0.06157</v>
      </c>
      <c r="T23" s="19" t="n">
        <v>0.06107</v>
      </c>
      <c r="U23" s="19" t="n">
        <v>0.05189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IF($H24="","",IFERROR(VLOOKUP($H24,PQ_Diario!$A:$D,2,0),""))</f>
        <v/>
      </c>
      <c r="J24" s="17">
        <f>IF($H24="","",IFERROR(VLOOKUP($H24,PQ_Diario!$A:$D,3,0),""))</f>
        <v/>
      </c>
      <c r="K24" s="17">
        <f>IF($H24="","",IFERROR(VLOOKUP($H24,PQ_Diario!$A:$D,4,0),""))</f>
        <v/>
      </c>
      <c r="S24" s="19" t="n">
        <v>0.07452</v>
      </c>
      <c r="T24" s="19" t="n">
        <v>0.07392</v>
      </c>
      <c r="U24" s="19" t="n">
        <v>0.07045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IF($H25="","",IFERROR(VLOOKUP($H25,PQ_Diario!$A:$D,2,0),""))</f>
        <v/>
      </c>
      <c r="J25" s="17">
        <f>IF($H25="","",IFERROR(VLOOKUP($H25,PQ_Diario!$A:$D,3,0),""))</f>
        <v/>
      </c>
      <c r="K25" s="17">
        <f>IF($H25="","",IFERROR(VLOOKUP($H25,PQ_Diario!$A:$D,4,0),""))</f>
        <v/>
      </c>
      <c r="S25" s="19" t="n">
        <v>0.09821000000000001</v>
      </c>
      <c r="T25" s="19" t="n">
        <v>0.09719</v>
      </c>
      <c r="U25" s="19" t="n">
        <v>0.08558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IF($H26="","",IFERROR(VLOOKUP($H26,PQ_Diario!$A:$D,2,0),""))</f>
        <v/>
      </c>
      <c r="J26" s="17">
        <f>IF($H26="","",IFERROR(VLOOKUP($H26,PQ_Diario!$A:$D,3,0),""))</f>
        <v/>
      </c>
      <c r="K26" s="17">
        <f>IF($H26="","",IFERROR(VLOOKUP($H26,PQ_Diario!$A:$D,4,0),""))</f>
        <v/>
      </c>
      <c r="S26" s="19" t="n">
        <v>0.07683</v>
      </c>
      <c r="T26" s="19" t="n">
        <v>0.06870999999999999</v>
      </c>
      <c r="U26" s="19" t="n">
        <v>0.0725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IF($H27="","",IFERROR(VLOOKUP($H27,PQ_Diario!$A:$D,2,0),""))</f>
        <v/>
      </c>
      <c r="J27" s="17">
        <f>IF($H27="","",IFERROR(VLOOKUP($H27,PQ_Diario!$A:$D,3,0),""))</f>
        <v/>
      </c>
      <c r="K27" s="17">
        <f>IF($H27="","",IFERROR(VLOOKUP($H27,PQ_Diario!$A:$D,4,0),""))</f>
        <v/>
      </c>
      <c r="S27" s="19" t="n">
        <v>0.08348</v>
      </c>
      <c r="T27" s="19" t="n">
        <v>0.07217999999999999</v>
      </c>
      <c r="U27" s="19" t="n">
        <v>0.0595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IFERROR(VLOOKUP($A50,PQ_Mensual!$A:$D,2,0),S50)</f>
        <v/>
      </c>
      <c r="C50" s="14">
        <f>IFERROR(VLOOKUP($A50,PQ_Mensual!$A:$D,3,0),T50)</f>
        <v/>
      </c>
      <c r="D50" s="14">
        <f>IFERROR(VLOOKUP($A50,PQ_Mensual!$A:$D,4,0),U50)</f>
        <v/>
      </c>
      <c r="E50" s="14">
        <f>IF(COUNT(B50:D50)=0,"",AVERAGE(B50:D50))</f>
        <v/>
      </c>
      <c r="F50" s="15">
        <f>IF(E50="","",E50*1000)</f>
        <v/>
      </c>
      <c r="S50" s="19" t="n">
        <v>0.13384</v>
      </c>
      <c r="T50" s="19" t="n">
        <v>0.12727</v>
      </c>
      <c r="U50" s="19" t="n">
        <v>0.1554</v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IFERROR(VLOOKUP($A50,PQ_Mensual6P!$A:$G,4,0),U50)</f>
        <v/>
      </c>
      <c r="E50" s="14">
        <f>IFERROR(VLOOKUP($A50,PQ_Mensual6P!$A:$G,5,0),V50)</f>
        <v/>
      </c>
      <c r="F50" s="28" t="n"/>
      <c r="G50" s="14">
        <f>IFERROR(VLOOKUP($A50,PQ_Mensual6P!$A:$G,7,0),X50)</f>
        <v/>
      </c>
      <c r="H50" s="15">
        <f>IF(COUNT(B50:G50)=0,"",AVERAGE(B50:G50)*1000)</f>
        <v/>
      </c>
      <c r="I50" s="29" t="inlineStr">
        <is>
          <t>MEDIA</t>
        </is>
      </c>
      <c r="U50" s="19" t="n">
        <v>0.13791</v>
      </c>
      <c r="V50" s="19" t="n">
        <v>0.12109</v>
      </c>
      <c r="X50" s="19" t="n">
        <v>0.1554</v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46308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163.6</v>
      </c>
      <c r="E6" s="36" t="n">
        <v>1</v>
      </c>
      <c r="G6" s="37" t="inlineStr">
        <is>
          <t>· Corto tenso: Sep-Dic 26 cotizan 97-103 €/MWh.</t>
        </is>
      </c>
      <c r="J6" t="inlineStr">
        <is>
          <t>FTB M Nov-26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163.6</v>
      </c>
      <c r="E7" s="36" t="n">
        <v>1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Dec-26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164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Jan-27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149.54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Feb-27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95.72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Mar-27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56.44</v>
      </c>
      <c r="E11" s="36" t="n">
        <v>0</v>
      </c>
      <c r="J11" t="inlineStr">
        <is>
          <t>FTB M Apr-27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136</v>
      </c>
      <c r="E12" s="36" t="n">
        <v>3</v>
      </c>
      <c r="J12" t="inlineStr">
        <is>
          <t>FTB Q1-27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71</v>
      </c>
      <c r="E13" s="36" t="n">
        <v>3</v>
      </c>
      <c r="J13" t="inlineStr">
        <is>
          <t>FTB Q2-27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102.17</v>
      </c>
      <c r="E14" s="36" t="n">
        <v>3</v>
      </c>
      <c r="J14" t="inlineStr">
        <is>
          <t>FTB Q3-27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105.2</v>
      </c>
      <c r="E15" s="36" t="n">
        <v>1</v>
      </c>
      <c r="J15" t="inlineStr">
        <is>
          <t>FTB Q4-27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78.34999999999999</v>
      </c>
      <c r="E16" s="36" t="n">
        <v>0</v>
      </c>
      <c r="J16" t="inlineStr">
        <is>
          <t>FTB Q1-28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50.28</v>
      </c>
      <c r="E17" s="36" t="n">
        <v>0</v>
      </c>
      <c r="J17" t="inlineStr">
        <is>
          <t>FTB Q2-28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66.75</v>
      </c>
      <c r="E18" s="36" t="n">
        <v>0</v>
      </c>
      <c r="J18" t="inlineStr">
        <is>
          <t>FTB Q3-28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103.5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66.75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62.5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2026-10-13T01:29:57Z</dcterms:created>
  <dcterms:modified xsi:type="dcterms:W3CDTF">2026-10-13T01:29:57Z</dcterms:modified>
</cp:coreProperties>
</file>