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76.28</v>
      </c>
      <c r="X23" s="20" t="n">
        <v>185.8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168.5</v>
      </c>
      <c r="W24" s="20" t="n">
        <v>215.11</v>
      </c>
      <c r="X24" s="20" t="n">
        <v>299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58.1</v>
      </c>
      <c r="W25" s="20" t="n">
        <v>195.52</v>
      </c>
      <c r="X25" s="20" t="n">
        <v>278.87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0.3</v>
      </c>
      <c r="W26" s="20" t="n">
        <v>146.97</v>
      </c>
      <c r="X26" s="20" t="n">
        <v>299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0.28</v>
      </c>
      <c r="W27" s="20" t="n">
        <v>155.63</v>
      </c>
      <c r="X27" s="20" t="n">
        <v>286.76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0.66</v>
      </c>
      <c r="W28" s="20" t="n">
        <v>110.09</v>
      </c>
      <c r="X28" s="20" t="n">
        <v>224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IF($H29="","",IFERROR(VLOOKUP($H29,PQ_Diario!$A:$D,2,0),V29))</f>
        <v/>
      </c>
      <c r="J29" s="17">
        <f>IF($H29="","",IFERROR(VLOOKUP($H29,PQ_Diario!$A:$D,3,0),W29))</f>
        <v/>
      </c>
      <c r="K29" s="17">
        <f>IF($H29="","",IFERROR(VLOOKUP($H29,PQ_Diario!$A:$D,4,0),X29))</f>
        <v/>
      </c>
      <c r="S29" s="19" t="n">
        <v>0.1267</v>
      </c>
      <c r="T29" s="19" t="n">
        <v>0.12543</v>
      </c>
      <c r="U29" s="19" t="n">
        <v>0.10005</v>
      </c>
      <c r="V29" s="20" t="n">
        <v>-0.01</v>
      </c>
      <c r="W29" s="20" t="n">
        <v>137.19</v>
      </c>
      <c r="X29" s="20" t="n">
        <v>226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46318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179.5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181.4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184.95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171.31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106.63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78.95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153.75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86.73999999999999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122.06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119.82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81.09999999999999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53.85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70.8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120.5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70.8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66.2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2026-10-23T22:25:41Z</dcterms:created>
  <dcterms:modified xsi:type="dcterms:W3CDTF">2026-10-23T22:25:41Z</dcterms:modified>
</cp:coreProperties>
</file>