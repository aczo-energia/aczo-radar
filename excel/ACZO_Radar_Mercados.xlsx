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0.89</v>
      </c>
      <c r="W23" s="20" t="n">
        <v>127.64</v>
      </c>
      <c r="X23" s="20" t="n">
        <v>248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2</v>
      </c>
      <c r="W24" s="20" t="n">
        <v>127.55</v>
      </c>
      <c r="X24" s="20" t="n">
        <v>216.74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46.52</v>
      </c>
      <c r="W25" s="20" t="n">
        <v>138.69</v>
      </c>
      <c r="X25" s="20" t="n">
        <v>202.04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1.8</v>
      </c>
      <c r="W26" s="20" t="n">
        <v>113.98</v>
      </c>
      <c r="X26" s="20" t="n">
        <v>211.88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-0.01</v>
      </c>
      <c r="W27" s="20" t="n">
        <v>94.56999999999999</v>
      </c>
      <c r="X27" s="20" t="n">
        <v>188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-2.1</v>
      </c>
      <c r="W28" s="20" t="n">
        <v>85.09999999999999</v>
      </c>
      <c r="X28" s="20" t="n">
        <v>166.93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0.1</v>
      </c>
      <c r="W29" s="20" t="n">
        <v>95.03</v>
      </c>
      <c r="X29" s="20" t="n">
        <v>197.12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3.43</v>
      </c>
      <c r="W30" s="20" t="n">
        <v>120.35</v>
      </c>
      <c r="X30" s="20" t="n">
        <v>226.83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0</v>
      </c>
      <c r="W31" s="20" t="n">
        <v>110.86</v>
      </c>
      <c r="X31" s="20" t="n">
        <v>214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IF($H32="","",IFERROR(VLOOKUP($H32,PQ_Diario!$A:$D,2,0),V32))</f>
        <v/>
      </c>
      <c r="J32" s="17">
        <f>IF($H32="","",IFERROR(VLOOKUP($H32,PQ_Diario!$A:$D,3,0),W32))</f>
        <v/>
      </c>
      <c r="K32" s="17">
        <f>IF($H32="","",IFERROR(VLOOKUP($H32,PQ_Diario!$A:$D,4,0),X32))</f>
        <v/>
      </c>
      <c r="S32" s="19" t="n">
        <v>0.07069</v>
      </c>
      <c r="T32" s="19" t="n">
        <v>0.05524</v>
      </c>
      <c r="U32" s="19" t="n">
        <v>0.04494</v>
      </c>
      <c r="V32" s="20" t="n">
        <v>0.51</v>
      </c>
      <c r="W32" s="20" t="n">
        <v>110.84</v>
      </c>
      <c r="X32" s="20" t="n">
        <v>188.55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IF($H33="","",IFERROR(VLOOKUP($H33,PQ_Diario!$A:$D,2,0),V33))</f>
        <v/>
      </c>
      <c r="J33" s="17">
        <f>IF($H33="","",IFERROR(VLOOKUP($H33,PQ_Diario!$A:$D,3,0),W33))</f>
        <v/>
      </c>
      <c r="K33" s="17">
        <f>IF($H33="","",IFERROR(VLOOKUP($H33,PQ_Diario!$A:$D,4,0),X33))</f>
        <v/>
      </c>
      <c r="S33" s="19" t="n">
        <v>0.02763</v>
      </c>
      <c r="T33" s="19" t="n">
        <v>0.02789</v>
      </c>
      <c r="U33" s="19" t="n">
        <v>0.02598</v>
      </c>
      <c r="V33" s="20" t="n">
        <v>0</v>
      </c>
      <c r="W33" s="20" t="n">
        <v>103.78</v>
      </c>
      <c r="X33" s="20" t="n">
        <v>216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46262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117.85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124.27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120.99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113.28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98.15000000000001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121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100.5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49.75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75.69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74.34999999999999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65.61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42.55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58.5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54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2026-08-28T03:37:52Z</dcterms:created>
  <dcterms:modified xsi:type="dcterms:W3CDTF">2026-08-28T03:37:52Z</dcterms:modified>
</cp:coreProperties>
</file>