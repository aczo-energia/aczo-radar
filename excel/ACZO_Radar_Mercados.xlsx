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IF($H13="","",IFERROR(VLOOKUP($H13,PQ_Diario!$A:$D,2,0),""))</f>
        <v/>
      </c>
      <c r="J13" s="17">
        <f>IF($H13="","",IFERROR(VLOOKUP($H13,PQ_Diario!$A:$D,3,0),""))</f>
        <v/>
      </c>
      <c r="K13" s="17">
        <f>IF($H13="","",IFERROR(VLOOKUP($H13,PQ_Diario!$A:$D,4,0),""))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IF($H14="","",IFERROR(VLOOKUP($H14,PQ_Diario!$A:$D,2,0),""))</f>
        <v/>
      </c>
      <c r="J14" s="17">
        <f>IF($H14="","",IFERROR(VLOOKUP($H14,PQ_Diario!$A:$D,3,0),""))</f>
        <v/>
      </c>
      <c r="K14" s="17">
        <f>IF($H14="","",IFERROR(VLOOKUP($H14,PQ_Diario!$A:$D,4,0),""))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IF($H15="","",IFERROR(VLOOKUP($H15,PQ_Diario!$A:$D,2,0),""))</f>
        <v/>
      </c>
      <c r="J15" s="17">
        <f>IF($H15="","",IFERROR(VLOOKUP($H15,PQ_Diario!$A:$D,3,0),""))</f>
        <v/>
      </c>
      <c r="K15" s="17">
        <f>IF($H15="","",IFERROR(VLOOKUP($H15,PQ_Diario!$A:$D,4,0),""))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46271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129.5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135.94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135.14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138.95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124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75.61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133.5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112.5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53.9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78.02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79.98999999999999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69.3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44.85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81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60.8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2026-09-06T21:29:36Z</dcterms:created>
  <dcterms:modified xsi:type="dcterms:W3CDTF">2026-09-06T21:29:36Z</dcterms:modified>
</cp:coreProperties>
</file>