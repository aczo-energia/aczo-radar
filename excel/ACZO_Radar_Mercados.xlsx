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IFERROR(DATE(YEAR(MAX(PQ_Diario!A:A)),MONTH(MAX(PQ_Diario!A:A)),1),DATE(2026,10,1))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38.95</v>
      </c>
      <c r="W6" s="20" t="n">
        <v>152.01</v>
      </c>
      <c r="X6" s="20" t="n">
        <v>258.32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112.5</v>
      </c>
      <c r="W7" s="20" t="n">
        <v>177.72</v>
      </c>
      <c r="X7" s="20" t="n">
        <v>279.83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63.94</v>
      </c>
      <c r="W8" s="20" t="n">
        <v>166.6</v>
      </c>
      <c r="X8" s="20" t="n">
        <v>238.7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70.69</v>
      </c>
      <c r="W9" s="20" t="n">
        <v>171.85</v>
      </c>
      <c r="X9" s="20" t="n">
        <v>245.07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130</v>
      </c>
      <c r="W10" s="20" t="n">
        <v>196.88</v>
      </c>
      <c r="X10" s="20" t="n">
        <v>271.93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147.09</v>
      </c>
      <c r="W11" s="20" t="n">
        <v>201.99</v>
      </c>
      <c r="X11" s="20" t="n">
        <v>281.31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80.8</v>
      </c>
      <c r="W12" s="20" t="n">
        <v>182.33</v>
      </c>
      <c r="X12" s="20" t="n">
        <v>245.9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106.9</v>
      </c>
      <c r="X13" s="20" t="n">
        <v>204.5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107.37</v>
      </c>
      <c r="X14" s="20" t="n">
        <v>205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-0.01</v>
      </c>
      <c r="W15" s="20" t="n">
        <v>130</v>
      </c>
      <c r="X15" s="20" t="n">
        <v>219.66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0.51</v>
      </c>
      <c r="W16" s="20" t="n">
        <v>141.49</v>
      </c>
      <c r="X16" s="20" t="n">
        <v>241.59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0</v>
      </c>
      <c r="W17" s="20" t="n">
        <v>151.76</v>
      </c>
      <c r="X17" s="20" t="n">
        <v>273.01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25</v>
      </c>
      <c r="W18" s="20" t="n">
        <v>166.63</v>
      </c>
      <c r="X18" s="20" t="n">
        <v>269.29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57.66</v>
      </c>
      <c r="W19" s="20" t="n">
        <v>186.45</v>
      </c>
      <c r="X19" s="20" t="n">
        <v>299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60</v>
      </c>
      <c r="W20" s="20" t="n">
        <v>193.11</v>
      </c>
      <c r="X20" s="20" t="n">
        <v>297.5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79.26000000000001</v>
      </c>
      <c r="W21" s="20" t="n">
        <v>191.64</v>
      </c>
      <c r="X21" s="20" t="n">
        <v>285.95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0.99</v>
      </c>
      <c r="W22" s="20" t="n">
        <v>107.15</v>
      </c>
      <c r="X22" s="20" t="n">
        <v>212.04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</v>
      </c>
      <c r="W23" s="20" t="n">
        <v>76.28</v>
      </c>
      <c r="X23" s="20" t="n">
        <v>185.8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168.5</v>
      </c>
      <c r="W24" s="20" t="n">
        <v>215.11</v>
      </c>
      <c r="X24" s="20" t="n">
        <v>299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IF($H25="","",IFERROR(VLOOKUP($H25,PQ_Diario!$A:$D,2,0),V25))</f>
        <v/>
      </c>
      <c r="J25" s="17">
        <f>IF($H25="","",IFERROR(VLOOKUP($H25,PQ_Diario!$A:$D,3,0),W25))</f>
        <v/>
      </c>
      <c r="K25" s="17">
        <f>IF($H25="","",IFERROR(VLOOKUP($H25,PQ_Diario!$A:$D,4,0),X25))</f>
        <v/>
      </c>
      <c r="S25" s="19" t="n">
        <v>0.09821000000000001</v>
      </c>
      <c r="T25" s="19" t="n">
        <v>0.09719</v>
      </c>
      <c r="U25" s="19" t="n">
        <v>0.08558</v>
      </c>
      <c r="V25" s="20" t="n">
        <v>58.1</v>
      </c>
      <c r="W25" s="20" t="n">
        <v>195.52</v>
      </c>
      <c r="X25" s="20" t="n">
        <v>278.87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IF($H26="","",IFERROR(VLOOKUP($H26,PQ_Diario!$A:$D,2,0),V26))</f>
        <v/>
      </c>
      <c r="J26" s="17">
        <f>IF($H26="","",IFERROR(VLOOKUP($H26,PQ_Diario!$A:$D,3,0),W26))</f>
        <v/>
      </c>
      <c r="K26" s="17">
        <f>IF($H26="","",IFERROR(VLOOKUP($H26,PQ_Diario!$A:$D,4,0),X26))</f>
        <v/>
      </c>
      <c r="S26" s="19" t="n">
        <v>0.07683</v>
      </c>
      <c r="T26" s="19" t="n">
        <v>0.06870999999999999</v>
      </c>
      <c r="U26" s="19" t="n">
        <v>0.0725</v>
      </c>
      <c r="V26" s="20" t="n">
        <v>0.3</v>
      </c>
      <c r="W26" s="20" t="n">
        <v>146.97</v>
      </c>
      <c r="X26" s="20" t="n">
        <v>299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IF($H27="","",IFERROR(VLOOKUP($H27,PQ_Diario!$A:$D,2,0),V27))</f>
        <v/>
      </c>
      <c r="J27" s="17">
        <f>IF($H27="","",IFERROR(VLOOKUP($H27,PQ_Diario!$A:$D,3,0),W27))</f>
        <v/>
      </c>
      <c r="K27" s="17">
        <f>IF($H27="","",IFERROR(VLOOKUP($H27,PQ_Diario!$A:$D,4,0),X27))</f>
        <v/>
      </c>
      <c r="S27" s="19" t="n">
        <v>0.08348</v>
      </c>
      <c r="T27" s="19" t="n">
        <v>0.07217999999999999</v>
      </c>
      <c r="U27" s="19" t="n">
        <v>0.0595</v>
      </c>
      <c r="V27" s="20" t="n">
        <v>0.28</v>
      </c>
      <c r="W27" s="20" t="n">
        <v>155.63</v>
      </c>
      <c r="X27" s="20" t="n">
        <v>286.76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IF($H28="","",IFERROR(VLOOKUP($H28,PQ_Diario!$A:$D,2,0),V28))</f>
        <v/>
      </c>
      <c r="J28" s="17">
        <f>IF($H28="","",IFERROR(VLOOKUP($H28,PQ_Diario!$A:$D,3,0),W28))</f>
        <v/>
      </c>
      <c r="K28" s="17">
        <f>IF($H28="","",IFERROR(VLOOKUP($H28,PQ_Diario!$A:$D,4,0),X28))</f>
        <v/>
      </c>
      <c r="S28" s="19" t="n">
        <v>0.11843</v>
      </c>
      <c r="T28" s="19" t="n">
        <v>0.11628</v>
      </c>
      <c r="U28" s="19" t="n">
        <v>0.09408999999999999</v>
      </c>
      <c r="V28" s="20" t="n">
        <v>0.66</v>
      </c>
      <c r="W28" s="20" t="n">
        <v>110.09</v>
      </c>
      <c r="X28" s="20" t="n">
        <v>224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IF($H29="","",IFERROR(VLOOKUP($H29,PQ_Diario!$A:$D,2,0),V29))</f>
        <v/>
      </c>
      <c r="J29" s="17">
        <f>IF($H29="","",IFERROR(VLOOKUP($H29,PQ_Diario!$A:$D,3,0),W29))</f>
        <v/>
      </c>
      <c r="K29" s="17">
        <f>IF($H29="","",IFERROR(VLOOKUP($H29,PQ_Diario!$A:$D,4,0),X29))</f>
        <v/>
      </c>
      <c r="S29" s="19" t="n">
        <v>0.1267</v>
      </c>
      <c r="T29" s="19" t="n">
        <v>0.12543</v>
      </c>
      <c r="U29" s="19" t="n">
        <v>0.10005</v>
      </c>
      <c r="V29" s="20" t="n">
        <v>-0.01</v>
      </c>
      <c r="W29" s="20" t="n">
        <v>137.19</v>
      </c>
      <c r="X29" s="20" t="n">
        <v>226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IF($H30="","",IFERROR(VLOOKUP($H30,PQ_Diario!$A:$D,2,0),V30))</f>
        <v/>
      </c>
      <c r="J30" s="17">
        <f>IF($H30="","",IFERROR(VLOOKUP($H30,PQ_Diario!$A:$D,3,0),W30))</f>
        <v/>
      </c>
      <c r="K30" s="17">
        <f>IF($H30="","",IFERROR(VLOOKUP($H30,PQ_Diario!$A:$D,4,0),X30))</f>
        <v/>
      </c>
      <c r="S30" s="19" t="n">
        <v>0.11618</v>
      </c>
      <c r="T30" s="19" t="n">
        <v>0.11035</v>
      </c>
      <c r="U30" s="19" t="n">
        <v>0.08304</v>
      </c>
      <c r="V30" s="20" t="n">
        <v>-1.46</v>
      </c>
      <c r="W30" s="20" t="n">
        <v>106.94</v>
      </c>
      <c r="X30" s="20" t="n">
        <v>250.59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IF($H31="","",IFERROR(VLOOKUP($H31,PQ_Diario!$A:$D,2,0),V31))</f>
        <v/>
      </c>
      <c r="J31" s="17">
        <f>IF($H31="","",IFERROR(VLOOKUP($H31,PQ_Diario!$A:$D,3,0),W31))</f>
        <v/>
      </c>
      <c r="K31" s="17">
        <f>IF($H31="","",IFERROR(VLOOKUP($H31,PQ_Diario!$A:$D,4,0),X31))</f>
        <v/>
      </c>
      <c r="S31" s="19" t="n">
        <v>0.1231</v>
      </c>
      <c r="T31" s="19" t="n">
        <v>0.10975</v>
      </c>
      <c r="U31" s="19" t="n">
        <v>0.10093</v>
      </c>
      <c r="V31" s="20" t="n">
        <v>55</v>
      </c>
      <c r="W31" s="20" t="n">
        <v>196.86</v>
      </c>
      <c r="X31" s="20" t="n">
        <v>300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IF($H32="","",IFERROR(VLOOKUP($H32,PQ_Diario!$A:$D,2,0),V32))</f>
        <v/>
      </c>
      <c r="J32" s="17">
        <f>IF($H32="","",IFERROR(VLOOKUP($H32,PQ_Diario!$A:$D,3,0),W32))</f>
        <v/>
      </c>
      <c r="K32" s="17">
        <f>IF($H32="","",IFERROR(VLOOKUP($H32,PQ_Diario!$A:$D,4,0),X32))</f>
        <v/>
      </c>
      <c r="S32" s="19" t="n">
        <v>0.07069</v>
      </c>
      <c r="T32" s="19" t="n">
        <v>0.05524</v>
      </c>
      <c r="U32" s="19" t="n">
        <v>0.04494</v>
      </c>
      <c r="V32" s="20" t="n">
        <v>100</v>
      </c>
      <c r="W32" s="20" t="n">
        <v>206.89</v>
      </c>
      <c r="X32" s="20" t="n">
        <v>290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IF($H33="","",IFERROR(VLOOKUP($H33,PQ_Diario!$A:$D,2,0),V33))</f>
        <v/>
      </c>
      <c r="J33" s="17">
        <f>IF($H33="","",IFERROR(VLOOKUP($H33,PQ_Diario!$A:$D,3,0),W33))</f>
        <v/>
      </c>
      <c r="K33" s="17">
        <f>IF($H33="","",IFERROR(VLOOKUP($H33,PQ_Diario!$A:$D,4,0),X33))</f>
        <v/>
      </c>
      <c r="S33" s="19" t="n">
        <v>0.02763</v>
      </c>
      <c r="T33" s="19" t="n">
        <v>0.02789</v>
      </c>
      <c r="U33" s="19" t="n">
        <v>0.02598</v>
      </c>
      <c r="V33" s="20" t="n">
        <v>57.08</v>
      </c>
      <c r="W33" s="20" t="n">
        <v>197.46</v>
      </c>
      <c r="X33" s="20" t="n">
        <v>319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IF($H34="","",IFERROR(VLOOKUP($H34,PQ_Diario!$A:$D,2,0),V34))</f>
        <v/>
      </c>
      <c r="J34" s="17">
        <f>IF($H34="","",IFERROR(VLOOKUP($H34,PQ_Diario!$A:$D,3,0),W34))</f>
        <v/>
      </c>
      <c r="K34" s="17">
        <f>IF($H34="","",IFERROR(VLOOKUP($H34,PQ_Diario!$A:$D,4,0),X34))</f>
        <v/>
      </c>
      <c r="S34" s="19" t="n">
        <v>0.01629</v>
      </c>
      <c r="T34" s="19" t="n">
        <v>0.01712</v>
      </c>
      <c r="U34" s="19" t="n">
        <v>0.01711</v>
      </c>
      <c r="V34" s="20" t="n">
        <v>115</v>
      </c>
      <c r="W34" s="20" t="n">
        <v>231.01</v>
      </c>
      <c r="X34" s="20" t="n">
        <v>322.78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IF($H35="","",IFERROR(VLOOKUP($H35,PQ_Diario!$A:$D,2,0),V35))</f>
        <v/>
      </c>
      <c r="J35" s="17">
        <f>IF($H35="","",IFERROR(VLOOKUP($H35,PQ_Diario!$A:$D,3,0),W35))</f>
        <v/>
      </c>
      <c r="K35" s="17">
        <f>IF($H35="","",IFERROR(VLOOKUP($H35,PQ_Diario!$A:$D,4,0),X35))</f>
        <v/>
      </c>
      <c r="S35" s="19" t="n">
        <v>0.07062</v>
      </c>
      <c r="T35" s="19" t="n">
        <v>0.06936</v>
      </c>
      <c r="U35" s="19" t="n">
        <v>0.07488</v>
      </c>
      <c r="V35" s="20" t="n">
        <v>171.39</v>
      </c>
      <c r="W35" s="20" t="n">
        <v>244.69</v>
      </c>
      <c r="X35" s="20" t="n">
        <v>324.72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IFERROR(VLOOKUP($A50,PQ_Mensual!$A:$D,2,0),S50)</f>
        <v/>
      </c>
      <c r="C50" s="14">
        <f>IFERROR(VLOOKUP($A50,PQ_Mensual!$A:$D,3,0),T50)</f>
        <v/>
      </c>
      <c r="D50" s="14">
        <f>IFERROR(VLOOKUP($A50,PQ_Mensual!$A:$D,4,0),U50)</f>
        <v/>
      </c>
      <c r="E50" s="14">
        <f>IF(COUNT(B50:D50)=0,"",AVERAGE(B50:D50))</f>
        <v/>
      </c>
      <c r="F50" s="15">
        <f>IF(E50="","",E50*1000)</f>
        <v/>
      </c>
      <c r="S50" s="19" t="n">
        <v>0.13384</v>
      </c>
      <c r="T50" s="19" t="n">
        <v>0.12727</v>
      </c>
      <c r="U50" s="19" t="n">
        <v>0.1554</v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IFERROR(VLOOKUP($A50,PQ_Mensual6P!$A:$G,4,0),U50)</f>
        <v/>
      </c>
      <c r="E50" s="14">
        <f>IFERROR(VLOOKUP($A50,PQ_Mensual6P!$A:$G,5,0),V50)</f>
        <v/>
      </c>
      <c r="F50" s="28" t="n"/>
      <c r="G50" s="14">
        <f>IFERROR(VLOOKUP($A50,PQ_Mensual6P!$A:$G,7,0),X50)</f>
        <v/>
      </c>
      <c r="H50" s="15">
        <f>IF(COUNT(B50:G50)=0,"",AVERAGE(B50:G50)*1000)</f>
        <v/>
      </c>
      <c r="I50" s="29" t="inlineStr">
        <is>
          <t>MEDIA</t>
        </is>
      </c>
      <c r="U50" s="19" t="n">
        <v>0.13791</v>
      </c>
      <c r="V50" s="19" t="n">
        <v>0.12109</v>
      </c>
      <c r="X50" s="19" t="n">
        <v>0.1554</v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46324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197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Nov-26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198.38</v>
      </c>
      <c r="E7" s="36" t="n">
        <v>1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Dec-26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206.35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Jan-27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190.3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Feb-27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115.97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Mar-27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86.53</v>
      </c>
      <c r="E11" s="36" t="n">
        <v>0</v>
      </c>
      <c r="J11" t="inlineStr">
        <is>
          <t>FTB M Apr-27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170.25</v>
      </c>
      <c r="E12" s="36" t="n">
        <v>3</v>
      </c>
      <c r="J12" t="inlineStr">
        <is>
          <t>FTB Q1-27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93.5</v>
      </c>
      <c r="E13" s="36" t="n">
        <v>3</v>
      </c>
      <c r="J13" t="inlineStr">
        <is>
          <t>FTB Q2-27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131.86</v>
      </c>
      <c r="E14" s="36" t="n">
        <v>3</v>
      </c>
      <c r="J14" t="inlineStr">
        <is>
          <t>FTB Q3-27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128.86</v>
      </c>
      <c r="E15" s="36" t="n">
        <v>1</v>
      </c>
      <c r="J15" t="inlineStr">
        <is>
          <t>FTB Q4-27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88.06</v>
      </c>
      <c r="E16" s="36" t="n">
        <v>0</v>
      </c>
      <c r="J16" t="inlineStr">
        <is>
          <t>FTB Q1-28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60.72</v>
      </c>
      <c r="E17" s="36" t="n">
        <v>0</v>
      </c>
      <c r="J17" t="inlineStr">
        <is>
          <t>FTB Q2-28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75.28</v>
      </c>
      <c r="E18" s="36" t="n">
        <v>0</v>
      </c>
      <c r="J18" t="inlineStr">
        <is>
          <t>FTB Q3-28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131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76.09999999999999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68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2026-10-29T23:26:55Z</dcterms:created>
  <dcterms:modified xsi:type="dcterms:W3CDTF">2026-10-29T23:26:55Z</dcterms:modified>
</cp:coreProperties>
</file>