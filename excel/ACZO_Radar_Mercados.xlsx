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1.49</v>
      </c>
      <c r="W26" s="20" t="n">
        <v>138.77</v>
      </c>
      <c r="X26" s="20" t="n">
        <v>276.54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1.99</v>
      </c>
      <c r="W27" s="20" t="n">
        <v>156.02</v>
      </c>
      <c r="X27" s="20" t="n">
        <v>300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10.02</v>
      </c>
      <c r="W28" s="20" t="n">
        <v>158.88</v>
      </c>
      <c r="X28" s="20" t="n">
        <v>274.36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17.62</v>
      </c>
      <c r="W29" s="20" t="n">
        <v>157.24</v>
      </c>
      <c r="X29" s="20" t="n">
        <v>288.23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19.17</v>
      </c>
      <c r="W30" s="20" t="n">
        <v>158.92</v>
      </c>
      <c r="X30" s="20" t="n">
        <v>287.13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0.45</v>
      </c>
      <c r="W31" s="20" t="n">
        <v>130.62</v>
      </c>
      <c r="X31" s="20" t="n">
        <v>251.08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-0.07000000000000001</v>
      </c>
      <c r="W32" s="20" t="n">
        <v>113.65</v>
      </c>
      <c r="X32" s="20" t="n">
        <v>210.26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147.32</v>
      </c>
      <c r="W33" s="20" t="n">
        <v>198.05</v>
      </c>
      <c r="X33" s="20" t="n">
        <v>280.59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IF($H34="","",IFERROR(VLOOKUP($H34,PQ_Diario!$A:$D,2,0),V34))</f>
        <v/>
      </c>
      <c r="J34" s="17">
        <f>IF($H34="","",IFERROR(VLOOKUP($H34,PQ_Diario!$A:$D,3,0),W34))</f>
        <v/>
      </c>
      <c r="K34" s="17">
        <f>IF($H34="","",IFERROR(VLOOKUP($H34,PQ_Diario!$A:$D,4,0),X34))</f>
        <v/>
      </c>
      <c r="S34" s="19" t="n">
        <v>0.01629</v>
      </c>
      <c r="T34" s="19" t="n">
        <v>0.01712</v>
      </c>
      <c r="U34" s="19" t="n">
        <v>0.01711</v>
      </c>
      <c r="V34" s="20" t="n">
        <v>1.08</v>
      </c>
      <c r="W34" s="20" t="n">
        <v>130.1</v>
      </c>
      <c r="X34" s="20" t="n">
        <v>239.17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IF($H35="","",IFERROR(VLOOKUP($H35,PQ_Diario!$A:$D,2,0),V35))</f>
        <v/>
      </c>
      <c r="J35" s="17">
        <f>IF($H35="","",IFERROR(VLOOKUP($H35,PQ_Diario!$A:$D,3,0),W35))</f>
        <v/>
      </c>
      <c r="K35" s="17">
        <f>IF($H35="","",IFERROR(VLOOKUP($H35,PQ_Diario!$A:$D,4,0),X35))</f>
        <v/>
      </c>
      <c r="S35" s="19" t="n">
        <v>0.07062</v>
      </c>
      <c r="T35" s="19" t="n">
        <v>0.06936</v>
      </c>
      <c r="U35" s="19" t="n">
        <v>0.07488</v>
      </c>
      <c r="V35" s="20" t="n">
        <v>85.59999999999999</v>
      </c>
      <c r="W35" s="20" t="n">
        <v>164.98</v>
      </c>
      <c r="X35" s="20" t="n">
        <v>261.03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46295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128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134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136.35</v>
      </c>
      <c r="E8" s="36" t="n">
        <v>1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142.25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121.71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79.90000000000001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114.4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60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87.33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93.31999999999999</v>
      </c>
      <c r="E15" s="36" t="n">
        <v>0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70.94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44.45</v>
      </c>
      <c r="E17" s="36" t="n">
        <v>0</v>
      </c>
      <c r="J17" t="inlineStr">
        <is>
          <t>FTB Q2-28</t>
        </is>
      </c>
    </row>
    <row r="18">
      <c r="A18" s="32" t="inlineStr">
        <is>
          <t>Y1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88.7</v>
      </c>
      <c r="E18" s="36" t="n">
        <v>0</v>
      </c>
      <c r="J18" t="inlineStr">
        <is>
          <t>FTB YR-27</t>
        </is>
      </c>
    </row>
    <row r="19">
      <c r="A19" s="32" t="inlineStr">
        <is>
          <t>Y2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60</v>
      </c>
      <c r="E19" s="36" t="n">
        <v>0</v>
      </c>
      <c r="J19" t="inlineStr">
        <is>
          <t>FTB YR-28</t>
        </is>
      </c>
    </row>
    <row r="20">
      <c r="A20" s="32" t="inlineStr">
        <is>
          <t>Y3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</v>
      </c>
      <c r="E20" s="36" t="n">
        <v>0</v>
      </c>
      <c r="J20" t="inlineStr">
        <is>
          <t>FTB YR-29</t>
        </is>
      </c>
    </row>
    <row r="22">
      <c r="A22" s="25" t="inlineStr">
        <is>
          <t>Suma de pesos (debe ser 12)</t>
        </is>
      </c>
      <c r="B22" s="38" t="n"/>
      <c r="C22" s="39">
        <f>SUM(E6:E20)</f>
        <v/>
      </c>
      <c r="D22" s="4">
        <f>IF(C22=12,"OK","⚠ ajusta pesos")</f>
        <v/>
      </c>
    </row>
    <row r="23">
      <c r="A23" s="40" t="inlineStr">
        <is>
          <t>FORWARD PRÓXIMOS 12 MESES (€/MWh)</t>
        </is>
      </c>
      <c r="B23" s="38" t="n"/>
      <c r="C23" s="41">
        <f>SUMPRODUCT(C6:C20,E6:E20)/SUM(E6:E20)</f>
        <v/>
      </c>
    </row>
    <row r="24">
      <c r="A24" s="25" t="inlineStr">
        <is>
          <t>Peajes y ajustes (€/MWh)</t>
        </is>
      </c>
      <c r="B24" s="38" t="n"/>
      <c r="C24" s="42" t="n">
        <v>28</v>
      </c>
    </row>
    <row r="25">
      <c r="A25" s="25" t="inlineStr">
        <is>
          <t>Cobertura de seguridad (€/MWh)</t>
        </is>
      </c>
      <c r="B25" s="38" t="n"/>
      <c r="C25" s="42" t="n">
        <v>10</v>
      </c>
    </row>
    <row r="26">
      <c r="A26" s="25" t="inlineStr">
        <is>
          <t>Precio fijo TEÓRICO hoy (€/MWh)</t>
        </is>
      </c>
      <c r="B26" s="38" t="n"/>
      <c r="C26" s="43">
        <f>C23+C24+C25</f>
        <v/>
      </c>
    </row>
    <row r="27">
      <c r="A27" s="25" t="inlineStr">
        <is>
          <t>Mejor fijo del catálogo — energía (€/MWh)</t>
        </is>
      </c>
      <c r="B27" s="38" t="n"/>
      <c r="C27" s="42" t="n">
        <v>109.9</v>
      </c>
    </row>
    <row r="28">
      <c r="A28" s="40" t="inlineStr">
        <is>
          <t>VENTANA DE FIJACIÓN (teórico − catálogo)</t>
        </is>
      </c>
      <c r="B28" s="38" t="n"/>
      <c r="C28" s="41">
        <f>C26-C27</f>
        <v/>
      </c>
    </row>
    <row r="29">
      <c r="A29" s="4">
        <f>IF(C28&gt;5,"VENTANA ABIERTA: quien fija hoy compra por debajo de donde repreciará el catálogo",IF(C28&lt;-5,"El catálogo está caro frente al mercado: negociar o esperar","Neutral: catálogo alineado con el mercado"))</f>
        <v/>
      </c>
    </row>
  </sheetData>
  <mergeCells count="12">
    <mergeCell ref="A4:B4"/>
    <mergeCell ref="A1:J1"/>
    <mergeCell ref="A24:B24"/>
    <mergeCell ref="A26:B26"/>
    <mergeCell ref="A29:E29"/>
    <mergeCell ref="A25:B25"/>
    <mergeCell ref="A2:H3"/>
    <mergeCell ref="A28:B28"/>
    <mergeCell ref="A23:B23"/>
    <mergeCell ref="D4:H4"/>
    <mergeCell ref="A27:B27"/>
    <mergeCell ref="A22:B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2026-09-30T23:06:31Z</dcterms:created>
  <dcterms:modified xsi:type="dcterms:W3CDTF">2026-09-30T23:06:31Z</dcterms:modified>
</cp:coreProperties>
</file>