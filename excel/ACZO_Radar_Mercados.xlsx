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IFERROR(DATE(YEAR(MAX(PQ_Diario!A:A)),MONTH(MAX(PQ_Diario!A:A)),1),DATE(2026,8,1))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0.29</v>
      </c>
      <c r="W6" s="20" t="n">
        <v>111.68</v>
      </c>
      <c r="X6" s="20" t="n">
        <v>198.69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-0.3</v>
      </c>
      <c r="W7" s="20" t="n">
        <v>106.2</v>
      </c>
      <c r="X7" s="20" t="n">
        <v>210.3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75</v>
      </c>
      <c r="W8" s="20" t="n">
        <v>151.87</v>
      </c>
      <c r="X8" s="20" t="n">
        <v>222.69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69</v>
      </c>
      <c r="W9" s="20" t="n">
        <v>146.37</v>
      </c>
      <c r="X9" s="20" t="n">
        <v>212.52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4</v>
      </c>
      <c r="W10" s="20" t="n">
        <v>118.92</v>
      </c>
      <c r="X10" s="20" t="n">
        <v>199.47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1.5</v>
      </c>
      <c r="W11" s="20" t="n">
        <v>109.51</v>
      </c>
      <c r="X11" s="20" t="n">
        <v>209.61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5</v>
      </c>
      <c r="W12" s="20" t="n">
        <v>119.03</v>
      </c>
      <c r="X12" s="20" t="n">
        <v>220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0</v>
      </c>
      <c r="W13" s="20" t="n">
        <v>108.61</v>
      </c>
      <c r="X13" s="20" t="n">
        <v>191.01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-0.11</v>
      </c>
      <c r="W14" s="20" t="n">
        <v>94.39</v>
      </c>
      <c r="X14" s="20" t="n">
        <v>175.73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21</v>
      </c>
      <c r="W15" s="20" t="n">
        <v>126.76</v>
      </c>
      <c r="X15" s="20" t="n">
        <v>233.76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12.14</v>
      </c>
      <c r="W16" s="20" t="n">
        <v>128.85</v>
      </c>
      <c r="X16" s="20" t="n">
        <v>235.51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12</v>
      </c>
      <c r="W17" s="20" t="n">
        <v>135.31</v>
      </c>
      <c r="X17" s="20" t="n">
        <v>250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21</v>
      </c>
      <c r="W18" s="20" t="n">
        <v>138.9</v>
      </c>
      <c r="X18" s="20" t="n">
        <v>268.97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IF($H19="","",IFERROR(VLOOKUP($H19,PQ_Diario!$A:$D,2,0),V19))</f>
        <v/>
      </c>
      <c r="J19" s="17">
        <f>IF($H19="","",IFERROR(VLOOKUP($H19,PQ_Diario!$A:$D,3,0),W19))</f>
        <v/>
      </c>
      <c r="K19" s="17">
        <f>IF($H19="","",IFERROR(VLOOKUP($H19,PQ_Diario!$A:$D,4,0),X19))</f>
        <v/>
      </c>
      <c r="S19" s="19" t="n">
        <v>0.04724</v>
      </c>
      <c r="T19" s="19" t="n">
        <v>0.04088</v>
      </c>
      <c r="U19" s="19" t="n">
        <v>0.03621</v>
      </c>
      <c r="V19" s="20" t="n">
        <v>30</v>
      </c>
      <c r="W19" s="20" t="n">
        <v>140.09</v>
      </c>
      <c r="X19" s="20" t="n">
        <v>252.5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IF($H20="","",IFERROR(VLOOKUP($H20,PQ_Diario!$A:$D,2,0),V20))</f>
        <v/>
      </c>
      <c r="J20" s="17">
        <f>IF($H20="","",IFERROR(VLOOKUP($H20,PQ_Diario!$A:$D,3,0),W20))</f>
        <v/>
      </c>
      <c r="K20" s="17">
        <f>IF($H20="","",IFERROR(VLOOKUP($H20,PQ_Diario!$A:$D,4,0),X20))</f>
        <v/>
      </c>
      <c r="S20" s="19" t="n">
        <v>0.03233</v>
      </c>
      <c r="T20" s="19" t="n">
        <v>0.02246</v>
      </c>
      <c r="U20" s="19" t="n">
        <v>0.01494</v>
      </c>
      <c r="V20" s="20" t="n">
        <v>0.51</v>
      </c>
      <c r="W20" s="20" t="n">
        <v>116.51</v>
      </c>
      <c r="X20" s="20" t="n">
        <v>209.95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IF($H21="","",IFERROR(VLOOKUP($H21,PQ_Diario!$A:$D,2,0),V21))</f>
        <v/>
      </c>
      <c r="J21" s="17">
        <f>IF($H21="","",IFERROR(VLOOKUP($H21,PQ_Diario!$A:$D,3,0),W21))</f>
        <v/>
      </c>
      <c r="K21" s="17">
        <f>IF($H21="","",IFERROR(VLOOKUP($H21,PQ_Diario!$A:$D,4,0),X21))</f>
        <v/>
      </c>
      <c r="S21" s="19" t="n">
        <v>0.01418</v>
      </c>
      <c r="T21" s="19" t="n">
        <v>0.0138</v>
      </c>
      <c r="U21" s="19" t="n">
        <v>0.01337</v>
      </c>
      <c r="V21" s="20" t="n">
        <v>0</v>
      </c>
      <c r="W21" s="20" t="n">
        <v>116.02</v>
      </c>
      <c r="X21" s="20" t="n">
        <v>215.04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IF($H22="","",IFERROR(VLOOKUP($H22,PQ_Diario!$A:$D,2,0),V22))</f>
        <v/>
      </c>
      <c r="J22" s="17">
        <f>IF($H22="","",IFERROR(VLOOKUP($H22,PQ_Diario!$A:$D,3,0),W22))</f>
        <v/>
      </c>
      <c r="K22" s="17">
        <f>IF($H22="","",IFERROR(VLOOKUP($H22,PQ_Diario!$A:$D,4,0),X22))</f>
        <v/>
      </c>
      <c r="S22" s="19" t="n">
        <v>0.02666</v>
      </c>
      <c r="T22" s="19" t="n">
        <v>0.02822</v>
      </c>
      <c r="U22" s="19" t="n">
        <v>0.03306</v>
      </c>
      <c r="V22" s="20" t="n">
        <v>39.1</v>
      </c>
      <c r="W22" s="20" t="n">
        <v>157.35</v>
      </c>
      <c r="X22" s="20" t="n">
        <v>240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IF($H23="","",IFERROR(VLOOKUP($H23,PQ_Diario!$A:$D,2,0),V23))</f>
        <v/>
      </c>
      <c r="J23" s="17">
        <f>IF($H23="","",IFERROR(VLOOKUP($H23,PQ_Diario!$A:$D,3,0),W23))</f>
        <v/>
      </c>
      <c r="K23" s="17">
        <f>IF($H23="","",IFERROR(VLOOKUP($H23,PQ_Diario!$A:$D,4,0),X23))</f>
        <v/>
      </c>
      <c r="S23" s="19" t="n">
        <v>0.06157</v>
      </c>
      <c r="T23" s="19" t="n">
        <v>0.06107</v>
      </c>
      <c r="U23" s="19" t="n">
        <v>0.05189</v>
      </c>
      <c r="V23" s="20" t="n">
        <v>0.89</v>
      </c>
      <c r="W23" s="20" t="n">
        <v>127.64</v>
      </c>
      <c r="X23" s="20" t="n">
        <v>248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IF($H24="","",IFERROR(VLOOKUP($H24,PQ_Diario!$A:$D,2,0),V24))</f>
        <v/>
      </c>
      <c r="J24" s="17">
        <f>IF($H24="","",IFERROR(VLOOKUP($H24,PQ_Diario!$A:$D,3,0),W24))</f>
        <v/>
      </c>
      <c r="K24" s="17">
        <f>IF($H24="","",IFERROR(VLOOKUP($H24,PQ_Diario!$A:$D,4,0),X24))</f>
        <v/>
      </c>
      <c r="S24" s="19" t="n">
        <v>0.07452</v>
      </c>
      <c r="T24" s="19" t="n">
        <v>0.07392</v>
      </c>
      <c r="U24" s="19" t="n">
        <v>0.07045</v>
      </c>
      <c r="V24" s="20" t="n">
        <v>2</v>
      </c>
      <c r="W24" s="20" t="n">
        <v>127.55</v>
      </c>
      <c r="X24" s="20" t="n">
        <v>216.74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IF($H25="","",IFERROR(VLOOKUP($H25,PQ_Diario!$A:$D,2,0),V25))</f>
        <v/>
      </c>
      <c r="J25" s="17">
        <f>IF($H25="","",IFERROR(VLOOKUP($H25,PQ_Diario!$A:$D,3,0),W25))</f>
        <v/>
      </c>
      <c r="K25" s="17">
        <f>IF($H25="","",IFERROR(VLOOKUP($H25,PQ_Diario!$A:$D,4,0),X25))</f>
        <v/>
      </c>
      <c r="S25" s="19" t="n">
        <v>0.09821000000000001</v>
      </c>
      <c r="T25" s="19" t="n">
        <v>0.09719</v>
      </c>
      <c r="U25" s="19" t="n">
        <v>0.08558</v>
      </c>
      <c r="V25" s="20" t="n">
        <v>46.52</v>
      </c>
      <c r="W25" s="20" t="n">
        <v>138.69</v>
      </c>
      <c r="X25" s="20" t="n">
        <v>202.04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IF($H26="","",IFERROR(VLOOKUP($H26,PQ_Diario!$A:$D,2,0),V26))</f>
        <v/>
      </c>
      <c r="J26" s="17">
        <f>IF($H26="","",IFERROR(VLOOKUP($H26,PQ_Diario!$A:$D,3,0),W26))</f>
        <v/>
      </c>
      <c r="K26" s="17">
        <f>IF($H26="","",IFERROR(VLOOKUP($H26,PQ_Diario!$A:$D,4,0),X26))</f>
        <v/>
      </c>
      <c r="S26" s="19" t="n">
        <v>0.07683</v>
      </c>
      <c r="T26" s="19" t="n">
        <v>0.06870999999999999</v>
      </c>
      <c r="U26" s="19" t="n">
        <v>0.0725</v>
      </c>
      <c r="V26" s="20" t="n">
        <v>1.8</v>
      </c>
      <c r="W26" s="20" t="n">
        <v>113.98</v>
      </c>
      <c r="X26" s="20" t="n">
        <v>211.88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IF($H27="","",IFERROR(VLOOKUP($H27,PQ_Diario!$A:$D,2,0),V27))</f>
        <v/>
      </c>
      <c r="J27" s="17">
        <f>IF($H27="","",IFERROR(VLOOKUP($H27,PQ_Diario!$A:$D,3,0),W27))</f>
        <v/>
      </c>
      <c r="K27" s="17">
        <f>IF($H27="","",IFERROR(VLOOKUP($H27,PQ_Diario!$A:$D,4,0),X27))</f>
        <v/>
      </c>
      <c r="S27" s="19" t="n">
        <v>0.08348</v>
      </c>
      <c r="T27" s="19" t="n">
        <v>0.07217999999999999</v>
      </c>
      <c r="U27" s="19" t="n">
        <v>0.0595</v>
      </c>
      <c r="V27" s="20" t="n">
        <v>-0.01</v>
      </c>
      <c r="W27" s="20" t="n">
        <v>94.56999999999999</v>
      </c>
      <c r="X27" s="20" t="n">
        <v>188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IF($H28="","",IFERROR(VLOOKUP($H28,PQ_Diario!$A:$D,2,0),V28))</f>
        <v/>
      </c>
      <c r="J28" s="17">
        <f>IF($H28="","",IFERROR(VLOOKUP($H28,PQ_Diario!$A:$D,3,0),W28))</f>
        <v/>
      </c>
      <c r="K28" s="17">
        <f>IF($H28="","",IFERROR(VLOOKUP($H28,PQ_Diario!$A:$D,4,0),X28))</f>
        <v/>
      </c>
      <c r="S28" s="19" t="n">
        <v>0.11843</v>
      </c>
      <c r="T28" s="19" t="n">
        <v>0.11628</v>
      </c>
      <c r="U28" s="19" t="n">
        <v>0.09408999999999999</v>
      </c>
      <c r="V28" s="20" t="n">
        <v>-2.1</v>
      </c>
      <c r="W28" s="20" t="n">
        <v>85.09999999999999</v>
      </c>
      <c r="X28" s="20" t="n">
        <v>166.93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IF($H29="","",IFERROR(VLOOKUP($H29,PQ_Diario!$A:$D,2,0),V29))</f>
        <v/>
      </c>
      <c r="J29" s="17">
        <f>IF($H29="","",IFERROR(VLOOKUP($H29,PQ_Diario!$A:$D,3,0),W29))</f>
        <v/>
      </c>
      <c r="K29" s="17">
        <f>IF($H29="","",IFERROR(VLOOKUP($H29,PQ_Diario!$A:$D,4,0),X29))</f>
        <v/>
      </c>
      <c r="S29" s="19" t="n">
        <v>0.1267</v>
      </c>
      <c r="T29" s="19" t="n">
        <v>0.12543</v>
      </c>
      <c r="U29" s="19" t="n">
        <v>0.10005</v>
      </c>
      <c r="V29" s="20" t="n">
        <v>0.1</v>
      </c>
      <c r="W29" s="20" t="n">
        <v>95.03</v>
      </c>
      <c r="X29" s="20" t="n">
        <v>197.12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IFERROR(VLOOKUP($A49,PQ_Mensual!$A:$D,2,0),"")</f>
        <v/>
      </c>
      <c r="C49" s="14">
        <f>IFERROR(VLOOKUP($A49,PQ_Mensual!$A:$D,3,0),"")</f>
        <v/>
      </c>
      <c r="D49" s="14">
        <f>IFERROR(VLOOKUP($A49,PQ_Mensual!$A:$D,4,0),"")</f>
        <v/>
      </c>
      <c r="E49" s="14">
        <f>IF(COUNT(B49:D49)=0,"",AVERAGE(B49:D49))</f>
        <v/>
      </c>
      <c r="F49" s="15">
        <f>IF(E49="","",E49*1000)</f>
        <v/>
      </c>
    </row>
    <row r="50">
      <c r="A50" s="13" t="n">
        <v>46266</v>
      </c>
      <c r="B50" s="14">
        <f>IFERROR(VLOOKUP($A50,PQ_Mensual!$A:$D,2,0),"")</f>
        <v/>
      </c>
      <c r="C50" s="14">
        <f>IFERROR(VLOOKUP($A50,PQ_Mensual!$A:$D,3,0),"")</f>
        <v/>
      </c>
      <c r="D50" s="14">
        <f>IFERROR(VLOOKUP($A50,PQ_Mensual!$A:$D,4,0),"")</f>
        <v/>
      </c>
      <c r="E50" s="14">
        <f>IF(COUNT(B50:D50)=0,"",AVERAGE(B50:D50))</f>
        <v/>
      </c>
      <c r="F50" s="15">
        <f>IF(E50="","",E50*1000)</f>
        <v/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IFERROR(VLOOKUP($A49,PQ_Mensual6P!$A:$G,4,0),"")</f>
        <v/>
      </c>
      <c r="E49" s="14">
        <f>IFERROR(VLOOKUP($A49,PQ_Mensual6P!$A:$G,5,0),"")</f>
        <v/>
      </c>
      <c r="F49" s="28" t="n"/>
      <c r="G49" s="14">
        <f>IFERROR(VLOOKUP($A49,PQ_Mensual6P!$A:$G,7,0),"")</f>
        <v/>
      </c>
      <c r="H49" s="15">
        <f>IF(COUNT(B49:G49)=0,"",AVERAGE(B49:G49)*1000)</f>
        <v/>
      </c>
      <c r="I49" s="29" t="inlineStr">
        <is>
          <t>MEDIA</t>
        </is>
      </c>
    </row>
    <row r="50">
      <c r="A50" s="13" t="n">
        <v>46266</v>
      </c>
      <c r="B50" s="28" t="n"/>
      <c r="C50" s="28" t="n"/>
      <c r="D50" s="14">
        <f>IFERROR(VLOOKUP($A50,PQ_Mensual6P!$A:$G,4,0),"")</f>
        <v/>
      </c>
      <c r="E50" s="14">
        <f>IFERROR(VLOOKUP($A50,PQ_Mensual6P!$A:$G,5,0),"")</f>
        <v/>
      </c>
      <c r="F50" s="28" t="n"/>
      <c r="G50" s="14">
        <f>IFERROR(VLOOKUP($A50,PQ_Mensual6P!$A:$G,7,0),"")</f>
        <v/>
      </c>
      <c r="H50" s="15">
        <f>IF(COUNT(B50:G50)=0,"",AVERAGE(B50:G50)*1000)</f>
        <v/>
      </c>
      <c r="I50" s="29" t="inlineStr">
        <is>
          <t>MEDIA</t>
        </is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46257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117.6</v>
      </c>
      <c r="E6" s="36" t="n">
        <v>1</v>
      </c>
      <c r="G6" s="37" t="inlineStr">
        <is>
          <t>· Corto tenso: Sep-Dic 26 cotizan 97-103 €/MWh.</t>
        </is>
      </c>
      <c r="J6" t="inlineStr">
        <is>
          <t>FTB M Sep-26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115.5</v>
      </c>
      <c r="E7" s="36" t="n">
        <v>0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Oct-26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118.07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Nov-26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118.07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Dec-26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99.28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Jan-27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94.12</v>
      </c>
      <c r="E11" s="36" t="n">
        <v>0</v>
      </c>
      <c r="J11" t="inlineStr">
        <is>
          <t>FTB M Feb-27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117.2</v>
      </c>
      <c r="E12" s="36" t="n">
        <v>3</v>
      </c>
      <c r="J12" t="inlineStr">
        <is>
          <t>FTB Q4-26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96.47</v>
      </c>
      <c r="E13" s="36" t="n">
        <v>3</v>
      </c>
      <c r="J13" t="inlineStr">
        <is>
          <t>FTB Q1-27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52.93</v>
      </c>
      <c r="E14" s="36" t="n">
        <v>3</v>
      </c>
      <c r="J14" t="inlineStr">
        <is>
          <t>FTB Q2-27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75.83</v>
      </c>
      <c r="E15" s="36" t="n">
        <v>2</v>
      </c>
      <c r="J15" t="inlineStr">
        <is>
          <t>FTB Q3-27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76</v>
      </c>
      <c r="E16" s="36" t="n">
        <v>0</v>
      </c>
      <c r="J16" t="inlineStr">
        <is>
          <t>FTB Q4-27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66.26000000000001</v>
      </c>
      <c r="E17" s="36" t="n">
        <v>0</v>
      </c>
      <c r="J17" t="inlineStr">
        <is>
          <t>FTB Q1-28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43.2</v>
      </c>
      <c r="E18" s="36" t="n">
        <v>0</v>
      </c>
      <c r="J18" t="inlineStr">
        <is>
          <t>FTB Q2-28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75.25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59.15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54.17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2026-08-23T19:42:48Z</dcterms:created>
  <dcterms:modified xsi:type="dcterms:W3CDTF">2026-08-23T19:42:48Z</dcterms:modified>
</cp:coreProperties>
</file>