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IFERROR(DATE(YEAR(MAX(PQ_Diario!A:A)),MONTH(MAX(PQ_Diario!A:A)),1),DATE(2026,9,1))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24.75</v>
      </c>
      <c r="W6" s="20" t="n">
        <v>141.55</v>
      </c>
      <c r="X6" s="20" t="n">
        <v>238.74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58.23</v>
      </c>
      <c r="W7" s="20" t="n">
        <v>159.91</v>
      </c>
      <c r="X7" s="20" t="n">
        <v>247.27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27</v>
      </c>
      <c r="W8" s="20" t="n">
        <v>155.99</v>
      </c>
      <c r="X8" s="20" t="n">
        <v>300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82.5</v>
      </c>
      <c r="W9" s="20" t="n">
        <v>169.5</v>
      </c>
      <c r="X9" s="20" t="n">
        <v>260.27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2.81</v>
      </c>
      <c r="W10" s="20" t="n">
        <v>138.11</v>
      </c>
      <c r="X10" s="20" t="n">
        <v>225.01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0</v>
      </c>
      <c r="W11" s="20" t="n">
        <v>140.01</v>
      </c>
      <c r="X11" s="20" t="n">
        <v>249.3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57</v>
      </c>
      <c r="W12" s="20" t="n">
        <v>172.07</v>
      </c>
      <c r="X12" s="20" t="n">
        <v>265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33.62</v>
      </c>
      <c r="W13" s="20" t="n">
        <v>151.73</v>
      </c>
      <c r="X13" s="20" t="n">
        <v>230.01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IF($H14="","",IFERROR(VLOOKUP($H14,PQ_Diario!$A:$D,2,0),""))</f>
        <v/>
      </c>
      <c r="J14" s="17">
        <f>IF($H14="","",IFERROR(VLOOKUP($H14,PQ_Diario!$A:$D,3,0),""))</f>
        <v/>
      </c>
      <c r="K14" s="17">
        <f>IF($H14="","",IFERROR(VLOOKUP($H14,PQ_Diario!$A:$D,4,0),""))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IF($H15="","",IFERROR(VLOOKUP($H15,PQ_Diario!$A:$D,2,0),""))</f>
        <v/>
      </c>
      <c r="J15" s="17">
        <f>IF($H15="","",IFERROR(VLOOKUP($H15,PQ_Diario!$A:$D,3,0),""))</f>
        <v/>
      </c>
      <c r="K15" s="17">
        <f>IF($H15="","",IFERROR(VLOOKUP($H15,PQ_Diario!$A:$D,4,0),""))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IF($H16="","",IFERROR(VLOOKUP($H16,PQ_Diario!$A:$D,2,0),""))</f>
        <v/>
      </c>
      <c r="J16" s="17">
        <f>IF($H16="","",IFERROR(VLOOKUP($H16,PQ_Diario!$A:$D,3,0),""))</f>
        <v/>
      </c>
      <c r="K16" s="17">
        <f>IF($H16="","",IFERROR(VLOOKUP($H16,PQ_Diario!$A:$D,4,0),""))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IF($H17="","",IFERROR(VLOOKUP($H17,PQ_Diario!$A:$D,2,0),""))</f>
        <v/>
      </c>
      <c r="J17" s="17">
        <f>IF($H17="","",IFERROR(VLOOKUP($H17,PQ_Diario!$A:$D,3,0),""))</f>
        <v/>
      </c>
      <c r="K17" s="17">
        <f>IF($H17="","",IFERROR(VLOOKUP($H17,PQ_Diario!$A:$D,4,0),""))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IF($H18="","",IFERROR(VLOOKUP($H18,PQ_Diario!$A:$D,2,0),""))</f>
        <v/>
      </c>
      <c r="J18" s="17">
        <f>IF($H18="","",IFERROR(VLOOKUP($H18,PQ_Diario!$A:$D,3,0),""))</f>
        <v/>
      </c>
      <c r="K18" s="17">
        <f>IF($H18="","",IFERROR(VLOOKUP($H18,PQ_Diario!$A:$D,4,0),""))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IF($H19="","",IFERROR(VLOOKUP($H19,PQ_Diario!$A:$D,2,0),""))</f>
        <v/>
      </c>
      <c r="J19" s="17">
        <f>IF($H19="","",IFERROR(VLOOKUP($H19,PQ_Diario!$A:$D,3,0),""))</f>
        <v/>
      </c>
      <c r="K19" s="17">
        <f>IF($H19="","",IFERROR(VLOOKUP($H19,PQ_Diario!$A:$D,4,0),""))</f>
        <v/>
      </c>
      <c r="S19" s="19" t="n">
        <v>0.04724</v>
      </c>
      <c r="T19" s="19" t="n">
        <v>0.04088</v>
      </c>
      <c r="U19" s="19" t="n">
        <v>0.03621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IF($H20="","",IFERROR(VLOOKUP($H20,PQ_Diario!$A:$D,2,0),""))</f>
        <v/>
      </c>
      <c r="J20" s="17">
        <f>IF($H20="","",IFERROR(VLOOKUP($H20,PQ_Diario!$A:$D,3,0),""))</f>
        <v/>
      </c>
      <c r="K20" s="17">
        <f>IF($H20="","",IFERROR(VLOOKUP($H20,PQ_Diario!$A:$D,4,0),""))</f>
        <v/>
      </c>
      <c r="S20" s="19" t="n">
        <v>0.03233</v>
      </c>
      <c r="T20" s="19" t="n">
        <v>0.02246</v>
      </c>
      <c r="U20" s="19" t="n">
        <v>0.01494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IF($H21="","",IFERROR(VLOOKUP($H21,PQ_Diario!$A:$D,2,0),""))</f>
        <v/>
      </c>
      <c r="J21" s="17">
        <f>IF($H21="","",IFERROR(VLOOKUP($H21,PQ_Diario!$A:$D,3,0),""))</f>
        <v/>
      </c>
      <c r="K21" s="17">
        <f>IF($H21="","",IFERROR(VLOOKUP($H21,PQ_Diario!$A:$D,4,0),""))</f>
        <v/>
      </c>
      <c r="S21" s="19" t="n">
        <v>0.01418</v>
      </c>
      <c r="T21" s="19" t="n">
        <v>0.0138</v>
      </c>
      <c r="U21" s="19" t="n">
        <v>0.01337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IF($H22="","",IFERROR(VLOOKUP($H22,PQ_Diario!$A:$D,2,0),""))</f>
        <v/>
      </c>
      <c r="J22" s="17">
        <f>IF($H22="","",IFERROR(VLOOKUP($H22,PQ_Diario!$A:$D,3,0),""))</f>
        <v/>
      </c>
      <c r="K22" s="17">
        <f>IF($H22="","",IFERROR(VLOOKUP($H22,PQ_Diario!$A:$D,4,0),""))</f>
        <v/>
      </c>
      <c r="S22" s="19" t="n">
        <v>0.02666</v>
      </c>
      <c r="T22" s="19" t="n">
        <v>0.02822</v>
      </c>
      <c r="U22" s="19" t="n">
        <v>0.03306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IF($H23="","",IFERROR(VLOOKUP($H23,PQ_Diario!$A:$D,2,0),""))</f>
        <v/>
      </c>
      <c r="J23" s="17">
        <f>IF($H23="","",IFERROR(VLOOKUP($H23,PQ_Diario!$A:$D,3,0),""))</f>
        <v/>
      </c>
      <c r="K23" s="17">
        <f>IF($H23="","",IFERROR(VLOOKUP($H23,PQ_Diario!$A:$D,4,0),""))</f>
        <v/>
      </c>
      <c r="S23" s="19" t="n">
        <v>0.06157</v>
      </c>
      <c r="T23" s="19" t="n">
        <v>0.06107</v>
      </c>
      <c r="U23" s="19" t="n">
        <v>0.05189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IF($H24="","",IFERROR(VLOOKUP($H24,PQ_Diario!$A:$D,2,0),""))</f>
        <v/>
      </c>
      <c r="J24" s="17">
        <f>IF($H24="","",IFERROR(VLOOKUP($H24,PQ_Diario!$A:$D,3,0),""))</f>
        <v/>
      </c>
      <c r="K24" s="17">
        <f>IF($H24="","",IFERROR(VLOOKUP($H24,PQ_Diario!$A:$D,4,0),""))</f>
        <v/>
      </c>
      <c r="S24" s="19" t="n">
        <v>0.07452</v>
      </c>
      <c r="T24" s="19" t="n">
        <v>0.07392</v>
      </c>
      <c r="U24" s="19" t="n">
        <v>0.07045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IF($H25="","",IFERROR(VLOOKUP($H25,PQ_Diario!$A:$D,2,0),""))</f>
        <v/>
      </c>
      <c r="J25" s="17">
        <f>IF($H25="","",IFERROR(VLOOKUP($H25,PQ_Diario!$A:$D,3,0),""))</f>
        <v/>
      </c>
      <c r="K25" s="17">
        <f>IF($H25="","",IFERROR(VLOOKUP($H25,PQ_Diario!$A:$D,4,0),""))</f>
        <v/>
      </c>
      <c r="S25" s="19" t="n">
        <v>0.09821000000000001</v>
      </c>
      <c r="T25" s="19" t="n">
        <v>0.09719</v>
      </c>
      <c r="U25" s="19" t="n">
        <v>0.08558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IF($H26="","",IFERROR(VLOOKUP($H26,PQ_Diario!$A:$D,2,0),""))</f>
        <v/>
      </c>
      <c r="J26" s="17">
        <f>IF($H26="","",IFERROR(VLOOKUP($H26,PQ_Diario!$A:$D,3,0),""))</f>
        <v/>
      </c>
      <c r="K26" s="17">
        <f>IF($H26="","",IFERROR(VLOOKUP($H26,PQ_Diario!$A:$D,4,0),""))</f>
        <v/>
      </c>
      <c r="S26" s="19" t="n">
        <v>0.07683</v>
      </c>
      <c r="T26" s="19" t="n">
        <v>0.06870999999999999</v>
      </c>
      <c r="U26" s="19" t="n">
        <v>0.0725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IF($H27="","",IFERROR(VLOOKUP($H27,PQ_Diario!$A:$D,2,0),""))</f>
        <v/>
      </c>
      <c r="J27" s="17">
        <f>IF($H27="","",IFERROR(VLOOKUP($H27,PQ_Diario!$A:$D,3,0),""))</f>
        <v/>
      </c>
      <c r="K27" s="17">
        <f>IF($H27="","",IFERROR(VLOOKUP($H27,PQ_Diario!$A:$D,4,0),""))</f>
        <v/>
      </c>
      <c r="S27" s="19" t="n">
        <v>0.08348</v>
      </c>
      <c r="T27" s="19" t="n">
        <v>0.07217999999999999</v>
      </c>
      <c r="U27" s="19" t="n">
        <v>0.0595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IF($H28="","",IFERROR(VLOOKUP($H28,PQ_Diario!$A:$D,2,0),""))</f>
        <v/>
      </c>
      <c r="J28" s="17">
        <f>IF($H28="","",IFERROR(VLOOKUP($H28,PQ_Diario!$A:$D,3,0),""))</f>
        <v/>
      </c>
      <c r="K28" s="17">
        <f>IF($H28="","",IFERROR(VLOOKUP($H28,PQ_Diario!$A:$D,4,0),""))</f>
        <v/>
      </c>
      <c r="S28" s="19" t="n">
        <v>0.11843</v>
      </c>
      <c r="T28" s="19" t="n">
        <v>0.11628</v>
      </c>
      <c r="U28" s="19" t="n">
        <v>0.09408999999999999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IF($H29="","",IFERROR(VLOOKUP($H29,PQ_Diario!$A:$D,2,0),""))</f>
        <v/>
      </c>
      <c r="J29" s="17">
        <f>IF($H29="","",IFERROR(VLOOKUP($H29,PQ_Diario!$A:$D,3,0),""))</f>
        <v/>
      </c>
      <c r="K29" s="17">
        <f>IF($H29="","",IFERROR(VLOOKUP($H29,PQ_Diario!$A:$D,4,0),""))</f>
        <v/>
      </c>
      <c r="S29" s="19" t="n">
        <v>0.1267</v>
      </c>
      <c r="T29" s="19" t="n">
        <v>0.12543</v>
      </c>
      <c r="U29" s="19" t="n">
        <v>0.10005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IF($H30="","",IFERROR(VLOOKUP($H30,PQ_Diario!$A:$D,2,0),""))</f>
        <v/>
      </c>
      <c r="J30" s="17">
        <f>IF($H30="","",IFERROR(VLOOKUP($H30,PQ_Diario!$A:$D,3,0),""))</f>
        <v/>
      </c>
      <c r="K30" s="17">
        <f>IF($H30="","",IFERROR(VLOOKUP($H30,PQ_Diario!$A:$D,4,0),""))</f>
        <v/>
      </c>
      <c r="S30" s="19" t="n">
        <v>0.11618</v>
      </c>
      <c r="T30" s="19" t="n">
        <v>0.11035</v>
      </c>
      <c r="U30" s="19" t="n">
        <v>0.08304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IF($H31="","",IFERROR(VLOOKUP($H31,PQ_Diario!$A:$D,2,0),""))</f>
        <v/>
      </c>
      <c r="J31" s="17">
        <f>IF($H31="","",IFERROR(VLOOKUP($H31,PQ_Diario!$A:$D,3,0),""))</f>
        <v/>
      </c>
      <c r="K31" s="17">
        <f>IF($H31="","",IFERROR(VLOOKUP($H31,PQ_Diario!$A:$D,4,0),""))</f>
        <v/>
      </c>
      <c r="S31" s="19" t="n">
        <v>0.1231</v>
      </c>
      <c r="T31" s="19" t="n">
        <v>0.10975</v>
      </c>
      <c r="U31" s="19" t="n">
        <v>0.10093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IF($H32="","",IFERROR(VLOOKUP($H32,PQ_Diario!$A:$D,2,0),""))</f>
        <v/>
      </c>
      <c r="J32" s="17">
        <f>IF($H32="","",IFERROR(VLOOKUP($H32,PQ_Diario!$A:$D,3,0),""))</f>
        <v/>
      </c>
      <c r="K32" s="17">
        <f>IF($H32="","",IFERROR(VLOOKUP($H32,PQ_Diario!$A:$D,4,0),""))</f>
        <v/>
      </c>
      <c r="S32" s="19" t="n">
        <v>0.07069</v>
      </c>
      <c r="T32" s="19" t="n">
        <v>0.05524</v>
      </c>
      <c r="U32" s="19" t="n">
        <v>0.04494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IF($H33="","",IFERROR(VLOOKUP($H33,PQ_Diario!$A:$D,2,0),""))</f>
        <v/>
      </c>
      <c r="J33" s="17">
        <f>IF($H33="","",IFERROR(VLOOKUP($H33,PQ_Diario!$A:$D,3,0),""))</f>
        <v/>
      </c>
      <c r="K33" s="17">
        <f>IF($H33="","",IFERROR(VLOOKUP($H33,PQ_Diario!$A:$D,4,0),""))</f>
        <v/>
      </c>
      <c r="S33" s="19" t="n">
        <v>0.02763</v>
      </c>
      <c r="T33" s="19" t="n">
        <v>0.02789</v>
      </c>
      <c r="U33" s="19" t="n">
        <v>0.02598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IFERROR(VLOOKUP($A49,PQ_Mensual!$A:$D,2,0),S49)</f>
        <v/>
      </c>
      <c r="C49" s="14">
        <f>IFERROR(VLOOKUP($A49,PQ_Mensual!$A:$D,3,0),T49)</f>
        <v/>
      </c>
      <c r="D49" s="14">
        <f>IFERROR(VLOOKUP($A49,PQ_Mensual!$A:$D,4,0),U49)</f>
        <v/>
      </c>
      <c r="E49" s="14">
        <f>IF(COUNT(B49:D49)=0,"",AVERAGE(B49:D49))</f>
        <v/>
      </c>
      <c r="F49" s="15">
        <f>IF(E49="","",E49*1000)</f>
        <v/>
      </c>
      <c r="S49" s="19" t="n">
        <v>0.10001</v>
      </c>
      <c r="T49" s="19" t="n">
        <v>0.10395</v>
      </c>
      <c r="U49" s="19" t="n">
        <v>0.13164</v>
      </c>
    </row>
    <row r="50">
      <c r="A50" s="13" t="n">
        <v>46266</v>
      </c>
      <c r="B50" s="14">
        <f>IFERROR(VLOOKUP($A50,PQ_Mensual!$A:$D,2,0),"")</f>
        <v/>
      </c>
      <c r="C50" s="14">
        <f>IFERROR(VLOOKUP($A50,PQ_Mensual!$A:$D,3,0),"")</f>
        <v/>
      </c>
      <c r="D50" s="14">
        <f>IFERROR(VLOOKUP($A50,PQ_Mensual!$A:$D,4,0),"")</f>
        <v/>
      </c>
      <c r="E50" s="14">
        <f>IF(COUNT(B50:D50)=0,"",AVERAGE(B50:D50))</f>
        <v/>
      </c>
      <c r="F50" s="15">
        <f>IF(E50="","",E50*1000)</f>
        <v/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IFERROR(VLOOKUP($A49,PQ_Mensual6P!$A:$G,4,0),U49)</f>
        <v/>
      </c>
      <c r="E49" s="14">
        <f>IFERROR(VLOOKUP($A49,PQ_Mensual6P!$A:$G,5,0),V49)</f>
        <v/>
      </c>
      <c r="F49" s="28" t="n"/>
      <c r="G49" s="14">
        <f>IFERROR(VLOOKUP($A49,PQ_Mensual6P!$A:$G,7,0),X49)</f>
        <v/>
      </c>
      <c r="H49" s="15">
        <f>IF(COUNT(B49:G49)=0,"",AVERAGE(B49:G49)*1000)</f>
        <v/>
      </c>
      <c r="I49" s="29" t="inlineStr">
        <is>
          <t>MEDIA</t>
        </is>
      </c>
      <c r="U49" s="19" t="n">
        <v>0.10352</v>
      </c>
      <c r="V49" s="19" t="n">
        <v>0.09999</v>
      </c>
      <c r="X49" s="19" t="n">
        <v>0.13164</v>
      </c>
    </row>
    <row r="50">
      <c r="A50" s="13" t="n">
        <v>46266</v>
      </c>
      <c r="B50" s="28" t="n"/>
      <c r="C50" s="28" t="n"/>
      <c r="D50" s="14">
        <f>IFERROR(VLOOKUP($A50,PQ_Mensual6P!$A:$G,4,0),"")</f>
        <v/>
      </c>
      <c r="E50" s="14">
        <f>IFERROR(VLOOKUP($A50,PQ_Mensual6P!$A:$G,5,0),"")</f>
        <v/>
      </c>
      <c r="F50" s="28" t="n"/>
      <c r="G50" s="14">
        <f>IFERROR(VLOOKUP($A50,PQ_Mensual6P!$A:$G,7,0),"")</f>
        <v/>
      </c>
      <c r="H50" s="15">
        <f>IF(COUNT(B50:G50)=0,"",AVERAGE(B50:G50)*1000)</f>
        <v/>
      </c>
      <c r="I50" s="29" t="inlineStr">
        <is>
          <t>MEDIA</t>
        </is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46272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129.5</v>
      </c>
      <c r="E6" s="36" t="n">
        <v>0</v>
      </c>
      <c r="G6" s="37" t="inlineStr">
        <is>
          <t>· Corto tenso: Sep-Dic 26 cotizan 97-103 €/MWh.</t>
        </is>
      </c>
      <c r="J6" t="inlineStr">
        <is>
          <t>FTB M Oct-26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135.94</v>
      </c>
      <c r="E7" s="36" t="n">
        <v>0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Nov-26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135.14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Dec-26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138.95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Jan-27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124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Feb-27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75.61</v>
      </c>
      <c r="E11" s="36" t="n">
        <v>0</v>
      </c>
      <c r="J11" t="inlineStr">
        <is>
          <t>FTB M Mar-27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133.5</v>
      </c>
      <c r="E12" s="36" t="n">
        <v>3</v>
      </c>
      <c r="J12" t="inlineStr">
        <is>
          <t>FTB Q4-26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112.5</v>
      </c>
      <c r="E13" s="36" t="n">
        <v>3</v>
      </c>
      <c r="J13" t="inlineStr">
        <is>
          <t>FTB Q1-27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53.9</v>
      </c>
      <c r="E14" s="36" t="n">
        <v>3</v>
      </c>
      <c r="J14" t="inlineStr">
        <is>
          <t>FTB Q2-27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78.02</v>
      </c>
      <c r="E15" s="36" t="n">
        <v>3</v>
      </c>
      <c r="J15" t="inlineStr">
        <is>
          <t>FTB Q3-27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79.98999999999999</v>
      </c>
      <c r="E16" s="36" t="n">
        <v>0</v>
      </c>
      <c r="J16" t="inlineStr">
        <is>
          <t>FTB Q4-27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69.3</v>
      </c>
      <c r="E17" s="36" t="n">
        <v>0</v>
      </c>
      <c r="J17" t="inlineStr">
        <is>
          <t>FTB Q1-28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44.85</v>
      </c>
      <c r="E18" s="36" t="n">
        <v>0</v>
      </c>
      <c r="J18" t="inlineStr">
        <is>
          <t>FTB Q2-28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81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60.8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57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2026-09-07T22:08:38Z</dcterms:created>
  <dcterms:modified xsi:type="dcterms:W3CDTF">2026-09-07T22:08:38Z</dcterms:modified>
</cp:coreProperties>
</file>