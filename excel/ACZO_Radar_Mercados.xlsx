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IFERROR(DATE(YEAR(MAX(PQ_Diario!A:A)),MONTH(MAX(PQ_Diario!A:A)),1),DATE(2026,9,1))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24.75</v>
      </c>
      <c r="W6" s="20" t="n">
        <v>141.55</v>
      </c>
      <c r="X6" s="20" t="n">
        <v>238.74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58.23</v>
      </c>
      <c r="W7" s="20" t="n">
        <v>159.91</v>
      </c>
      <c r="X7" s="20" t="n">
        <v>247.27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27</v>
      </c>
      <c r="W8" s="20" t="n">
        <v>155.99</v>
      </c>
      <c r="X8" s="20" t="n">
        <v>300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82.5</v>
      </c>
      <c r="W9" s="20" t="n">
        <v>169.5</v>
      </c>
      <c r="X9" s="20" t="n">
        <v>260.27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2.81</v>
      </c>
      <c r="W10" s="20" t="n">
        <v>138.11</v>
      </c>
      <c r="X10" s="20" t="n">
        <v>225.01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0</v>
      </c>
      <c r="W11" s="20" t="n">
        <v>140.01</v>
      </c>
      <c r="X11" s="20" t="n">
        <v>249.3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57</v>
      </c>
      <c r="W12" s="20" t="n">
        <v>172.07</v>
      </c>
      <c r="X12" s="20" t="n">
        <v>265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33.62</v>
      </c>
      <c r="W13" s="20" t="n">
        <v>151.73</v>
      </c>
      <c r="X13" s="20" t="n">
        <v>230.01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107.76</v>
      </c>
      <c r="X14" s="20" t="n">
        <v>212.09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2.5</v>
      </c>
      <c r="W15" s="20" t="n">
        <v>145.21</v>
      </c>
      <c r="X15" s="20" t="n">
        <v>278.48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10.01</v>
      </c>
      <c r="W16" s="20" t="n">
        <v>144.5</v>
      </c>
      <c r="X16" s="20" t="n">
        <v>250.01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118.28</v>
      </c>
      <c r="X17" s="20" t="n">
        <v>213.63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-0.5</v>
      </c>
      <c r="W18" s="20" t="n">
        <v>121.39</v>
      </c>
      <c r="X18" s="20" t="n">
        <v>237.53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40.53</v>
      </c>
      <c r="W19" s="20" t="n">
        <v>177.44</v>
      </c>
      <c r="X19" s="20" t="n">
        <v>300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35.67</v>
      </c>
      <c r="W20" s="20" t="n">
        <v>167.33</v>
      </c>
      <c r="X20" s="20" t="n">
        <v>268.06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0</v>
      </c>
      <c r="W21" s="20" t="n">
        <v>104.63</v>
      </c>
      <c r="X21" s="20" t="n">
        <v>196.18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IF($H22="","",IFERROR(VLOOKUP($H22,PQ_Diario!$A:$D,2,0),""))</f>
        <v/>
      </c>
      <c r="J22" s="17">
        <f>IF($H22="","",IFERROR(VLOOKUP($H22,PQ_Diario!$A:$D,3,0),""))</f>
        <v/>
      </c>
      <c r="K22" s="17">
        <f>IF($H22="","",IFERROR(VLOOKUP($H22,PQ_Diario!$A:$D,4,0),""))</f>
        <v/>
      </c>
      <c r="S22" s="19" t="n">
        <v>0.02666</v>
      </c>
      <c r="T22" s="19" t="n">
        <v>0.02822</v>
      </c>
      <c r="U22" s="19" t="n">
        <v>0.03306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46280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145</v>
      </c>
      <c r="E6" s="36" t="n">
        <v>0</v>
      </c>
      <c r="G6" s="37" t="inlineStr">
        <is>
          <t>· Corto tenso: Sep-Dic 26 cotizan 97-103 €/MWh.</t>
        </is>
      </c>
      <c r="J6" t="inlineStr">
        <is>
          <t>FTB M Oct-26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162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Nov-26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159.6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Dec-26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168.68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Jan-27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147.63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Feb-27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96.39</v>
      </c>
      <c r="E11" s="36" t="n">
        <v>0</v>
      </c>
      <c r="J11" t="inlineStr">
        <is>
          <t>FTB M Mar-27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155.46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137.25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64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88.25</v>
      </c>
      <c r="E15" s="36" t="n">
        <v>3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98.59999999999999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79.23999999999999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50.81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96.89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67.25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58.65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2026-09-15T22:22:53Z</dcterms:created>
  <dcterms:modified xsi:type="dcterms:W3CDTF">2026-09-15T22:22:53Z</dcterms:modified>
</cp:coreProperties>
</file>