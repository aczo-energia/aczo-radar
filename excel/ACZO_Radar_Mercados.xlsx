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82.5</v>
      </c>
      <c r="W9" s="20" t="n">
        <v>169.5</v>
      </c>
      <c r="X9" s="20" t="n">
        <v>260.27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2.81</v>
      </c>
      <c r="W10" s="20" t="n">
        <v>138.11</v>
      </c>
      <c r="X10" s="20" t="n">
        <v>225.01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0</v>
      </c>
      <c r="W11" s="20" t="n">
        <v>140.01</v>
      </c>
      <c r="X11" s="20" t="n">
        <v>249.3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57</v>
      </c>
      <c r="W12" s="20" t="n">
        <v>172.07</v>
      </c>
      <c r="X12" s="20" t="n">
        <v>265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33.62</v>
      </c>
      <c r="W13" s="20" t="n">
        <v>151.73</v>
      </c>
      <c r="X13" s="20" t="n">
        <v>230.01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107.76</v>
      </c>
      <c r="X14" s="20" t="n">
        <v>212.09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2.5</v>
      </c>
      <c r="W15" s="20" t="n">
        <v>145.21</v>
      </c>
      <c r="X15" s="20" t="n">
        <v>278.48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10.01</v>
      </c>
      <c r="W16" s="20" t="n">
        <v>144.5</v>
      </c>
      <c r="X16" s="20" t="n">
        <v>250.01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118.28</v>
      </c>
      <c r="X17" s="20" t="n">
        <v>213.63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-0.5</v>
      </c>
      <c r="W18" s="20" t="n">
        <v>121.39</v>
      </c>
      <c r="X18" s="20" t="n">
        <v>237.53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40.53</v>
      </c>
      <c r="W19" s="20" t="n">
        <v>177.44</v>
      </c>
      <c r="X19" s="20" t="n">
        <v>300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35.67</v>
      </c>
      <c r="W20" s="20" t="n">
        <v>167.33</v>
      </c>
      <c r="X20" s="20" t="n">
        <v>268.06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104.63</v>
      </c>
      <c r="X21" s="20" t="n">
        <v>196.18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0.51</v>
      </c>
      <c r="W22" s="20" t="n">
        <v>127.41</v>
      </c>
      <c r="X22" s="20" t="n">
        <v>244.11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</v>
      </c>
      <c r="W23" s="20" t="n">
        <v>124.78</v>
      </c>
      <c r="X23" s="20" t="n">
        <v>228.78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-1</v>
      </c>
      <c r="W24" s="20" t="n">
        <v>110.26</v>
      </c>
      <c r="X24" s="20" t="n">
        <v>201.15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-1.14</v>
      </c>
      <c r="W25" s="20" t="n">
        <v>112.56</v>
      </c>
      <c r="X25" s="20" t="n">
        <v>225.57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1.49</v>
      </c>
      <c r="W26" s="20" t="n">
        <v>138.77</v>
      </c>
      <c r="X26" s="20" t="n">
        <v>276.54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1.99</v>
      </c>
      <c r="W27" s="20" t="n">
        <v>156.02</v>
      </c>
      <c r="X27" s="20" t="n">
        <v>300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IF($H28="","",IFERROR(VLOOKUP($H28,PQ_Diario!$A:$D,2,0),V28))</f>
        <v/>
      </c>
      <c r="J28" s="17">
        <f>IF($H28="","",IFERROR(VLOOKUP($H28,PQ_Diario!$A:$D,3,0),W28))</f>
        <v/>
      </c>
      <c r="K28" s="17">
        <f>IF($H28="","",IFERROR(VLOOKUP($H28,PQ_Diario!$A:$D,4,0),X28))</f>
        <v/>
      </c>
      <c r="S28" s="19" t="n">
        <v>0.11843</v>
      </c>
      <c r="T28" s="19" t="n">
        <v>0.11628</v>
      </c>
      <c r="U28" s="19" t="n">
        <v>0.09408999999999999</v>
      </c>
      <c r="V28" s="20" t="n">
        <v>10.02</v>
      </c>
      <c r="W28" s="20" t="n">
        <v>158.88</v>
      </c>
      <c r="X28" s="20" t="n">
        <v>274.36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IF($H29="","",IFERROR(VLOOKUP($H29,PQ_Diario!$A:$D,2,0),V29))</f>
        <v/>
      </c>
      <c r="J29" s="17">
        <f>IF($H29="","",IFERROR(VLOOKUP($H29,PQ_Diario!$A:$D,3,0),W29))</f>
        <v/>
      </c>
      <c r="K29" s="17">
        <f>IF($H29="","",IFERROR(VLOOKUP($H29,PQ_Diario!$A:$D,4,0),X29))</f>
        <v/>
      </c>
      <c r="S29" s="19" t="n">
        <v>0.1267</v>
      </c>
      <c r="T29" s="19" t="n">
        <v>0.12543</v>
      </c>
      <c r="U29" s="19" t="n">
        <v>0.10005</v>
      </c>
      <c r="V29" s="20" t="n">
        <v>17.62</v>
      </c>
      <c r="W29" s="20" t="n">
        <v>157.24</v>
      </c>
      <c r="X29" s="20" t="n">
        <v>288.23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IF($H30="","",IFERROR(VLOOKUP($H30,PQ_Diario!$A:$D,2,0),V30))</f>
        <v/>
      </c>
      <c r="J30" s="17">
        <f>IF($H30="","",IFERROR(VLOOKUP($H30,PQ_Diario!$A:$D,3,0),W30))</f>
        <v/>
      </c>
      <c r="K30" s="17">
        <f>IF($H30="","",IFERROR(VLOOKUP($H30,PQ_Diario!$A:$D,4,0),X30))</f>
        <v/>
      </c>
      <c r="S30" s="19" t="n">
        <v>0.11618</v>
      </c>
      <c r="T30" s="19" t="n">
        <v>0.11035</v>
      </c>
      <c r="U30" s="19" t="n">
        <v>0.08304</v>
      </c>
      <c r="V30" s="20" t="n">
        <v>19.17</v>
      </c>
      <c r="W30" s="20" t="n">
        <v>158.92</v>
      </c>
      <c r="X30" s="20" t="n">
        <v>287.13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IF($H31="","",IFERROR(VLOOKUP($H31,PQ_Diario!$A:$D,2,0),V31))</f>
        <v/>
      </c>
      <c r="J31" s="17">
        <f>IF($H31="","",IFERROR(VLOOKUP($H31,PQ_Diario!$A:$D,3,0),W31))</f>
        <v/>
      </c>
      <c r="K31" s="17">
        <f>IF($H31="","",IFERROR(VLOOKUP($H31,PQ_Diario!$A:$D,4,0),X31))</f>
        <v/>
      </c>
      <c r="S31" s="19" t="n">
        <v>0.1231</v>
      </c>
      <c r="T31" s="19" t="n">
        <v>0.10975</v>
      </c>
      <c r="U31" s="19" t="n">
        <v>0.10093</v>
      </c>
      <c r="V31" s="20" t="n">
        <v>0.45</v>
      </c>
      <c r="W31" s="20" t="n">
        <v>130.62</v>
      </c>
      <c r="X31" s="20" t="n">
        <v>251.08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IF($H32="","",IFERROR(VLOOKUP($H32,PQ_Diario!$A:$D,2,0),V32))</f>
        <v/>
      </c>
      <c r="J32" s="17">
        <f>IF($H32="","",IFERROR(VLOOKUP($H32,PQ_Diario!$A:$D,3,0),W32))</f>
        <v/>
      </c>
      <c r="K32" s="17">
        <f>IF($H32="","",IFERROR(VLOOKUP($H32,PQ_Diario!$A:$D,4,0),X32))</f>
        <v/>
      </c>
      <c r="S32" s="19" t="n">
        <v>0.07069</v>
      </c>
      <c r="T32" s="19" t="n">
        <v>0.05524</v>
      </c>
      <c r="U32" s="19" t="n">
        <v>0.04494</v>
      </c>
      <c r="V32" s="20" t="n">
        <v>-0.07000000000000001</v>
      </c>
      <c r="W32" s="20" t="n">
        <v>113.65</v>
      </c>
      <c r="X32" s="20" t="n">
        <v>210.26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IF($H33="","",IFERROR(VLOOKUP($H33,PQ_Diario!$A:$D,2,0),V33))</f>
        <v/>
      </c>
      <c r="J33" s="17">
        <f>IF($H33="","",IFERROR(VLOOKUP($H33,PQ_Diario!$A:$D,3,0),W33))</f>
        <v/>
      </c>
      <c r="K33" s="17">
        <f>IF($H33="","",IFERROR(VLOOKUP($H33,PQ_Diario!$A:$D,4,0),X33))</f>
        <v/>
      </c>
      <c r="S33" s="19" t="n">
        <v>0.02763</v>
      </c>
      <c r="T33" s="19" t="n">
        <v>0.02789</v>
      </c>
      <c r="U33" s="19" t="n">
        <v>0.02598</v>
      </c>
      <c r="V33" s="20" t="n">
        <v>147.32</v>
      </c>
      <c r="W33" s="20" t="n">
        <v>198.05</v>
      </c>
      <c r="X33" s="20" t="n">
        <v>280.59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IF($H34="","",IFERROR(VLOOKUP($H34,PQ_Diario!$A:$D,2,0),V34))</f>
        <v/>
      </c>
      <c r="J34" s="17">
        <f>IF($H34="","",IFERROR(VLOOKUP($H34,PQ_Diario!$A:$D,3,0),W34))</f>
        <v/>
      </c>
      <c r="K34" s="17">
        <f>IF($H34="","",IFERROR(VLOOKUP($H34,PQ_Diario!$A:$D,4,0),X34))</f>
        <v/>
      </c>
      <c r="S34" s="19" t="n">
        <v>0.01629</v>
      </c>
      <c r="T34" s="19" t="n">
        <v>0.01712</v>
      </c>
      <c r="U34" s="19" t="n">
        <v>0.01711</v>
      </c>
      <c r="V34" s="20" t="n">
        <v>1.08</v>
      </c>
      <c r="W34" s="20" t="n">
        <v>130.1</v>
      </c>
      <c r="X34" s="20" t="n">
        <v>239.17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46293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128.2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142.6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141.2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143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125.2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79.19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137.27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115.5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58.5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84.5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92.8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71.44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44.95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87.75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60.5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58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2026-09-29T23:04:09Z</dcterms:created>
  <dcterms:modified xsi:type="dcterms:W3CDTF">2026-09-29T23:04:09Z</dcterms:modified>
</cp:coreProperties>
</file>