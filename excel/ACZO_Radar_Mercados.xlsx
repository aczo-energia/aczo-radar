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IFERROR(DATE(YEAR(MAX(PQ_Diario!A:A)),MONTH(MAX(PQ_Diario!A:A)),1),DATE(2026,10,1))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38.95</v>
      </c>
      <c r="W6" s="20" t="n">
        <v>152.01</v>
      </c>
      <c r="X6" s="20" t="n">
        <v>258.32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112.5</v>
      </c>
      <c r="W7" s="20" t="n">
        <v>177.72</v>
      </c>
      <c r="X7" s="20" t="n">
        <v>279.83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63.94</v>
      </c>
      <c r="W8" s="20" t="n">
        <v>166.6</v>
      </c>
      <c r="X8" s="20" t="n">
        <v>238.7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70.69</v>
      </c>
      <c r="W9" s="20" t="n">
        <v>171.85</v>
      </c>
      <c r="X9" s="20" t="n">
        <v>245.07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130</v>
      </c>
      <c r="W10" s="20" t="n">
        <v>196.88</v>
      </c>
      <c r="X10" s="20" t="n">
        <v>271.93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147.09</v>
      </c>
      <c r="W11" s="20" t="n">
        <v>201.99</v>
      </c>
      <c r="X11" s="20" t="n">
        <v>281.31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80.8</v>
      </c>
      <c r="W12" s="20" t="n">
        <v>182.33</v>
      </c>
      <c r="X12" s="20" t="n">
        <v>245.9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106.9</v>
      </c>
      <c r="X13" s="20" t="n">
        <v>204.5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107.37</v>
      </c>
      <c r="X14" s="20" t="n">
        <v>205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-0.01</v>
      </c>
      <c r="W15" s="20" t="n">
        <v>130</v>
      </c>
      <c r="X15" s="20" t="n">
        <v>219.66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0.51</v>
      </c>
      <c r="W16" s="20" t="n">
        <v>141.49</v>
      </c>
      <c r="X16" s="20" t="n">
        <v>241.59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151.76</v>
      </c>
      <c r="X17" s="20" t="n">
        <v>273.01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25</v>
      </c>
      <c r="W18" s="20" t="n">
        <v>166.63</v>
      </c>
      <c r="X18" s="20" t="n">
        <v>269.29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57.66</v>
      </c>
      <c r="W19" s="20" t="n">
        <v>186.45</v>
      </c>
      <c r="X19" s="20" t="n">
        <v>299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60</v>
      </c>
      <c r="W20" s="20" t="n">
        <v>193.11</v>
      </c>
      <c r="X20" s="20" t="n">
        <v>297.5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79.26000000000001</v>
      </c>
      <c r="W21" s="20" t="n">
        <v>191.64</v>
      </c>
      <c r="X21" s="20" t="n">
        <v>285.95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0.99</v>
      </c>
      <c r="W22" s="20" t="n">
        <v>107.15</v>
      </c>
      <c r="X22" s="20" t="n">
        <v>212.04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</v>
      </c>
      <c r="W23" s="20" t="n">
        <v>76.28</v>
      </c>
      <c r="X23" s="20" t="n">
        <v>185.8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168.5</v>
      </c>
      <c r="W24" s="20" t="n">
        <v>215.11</v>
      </c>
      <c r="X24" s="20" t="n">
        <v>299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58.1</v>
      </c>
      <c r="W25" s="20" t="n">
        <v>195.52</v>
      </c>
      <c r="X25" s="20" t="n">
        <v>278.87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0.3</v>
      </c>
      <c r="W26" s="20" t="n">
        <v>146.97</v>
      </c>
      <c r="X26" s="20" t="n">
        <v>299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0.28</v>
      </c>
      <c r="W27" s="20" t="n">
        <v>155.63</v>
      </c>
      <c r="X27" s="20" t="n">
        <v>286.76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IF($H28="","",IFERROR(VLOOKUP($H28,PQ_Diario!$A:$D,2,0),V28))</f>
        <v/>
      </c>
      <c r="J28" s="17">
        <f>IF($H28="","",IFERROR(VLOOKUP($H28,PQ_Diario!$A:$D,3,0),W28))</f>
        <v/>
      </c>
      <c r="K28" s="17">
        <f>IF($H28="","",IFERROR(VLOOKUP($H28,PQ_Diario!$A:$D,4,0),X28))</f>
        <v/>
      </c>
      <c r="S28" s="19" t="n">
        <v>0.11843</v>
      </c>
      <c r="T28" s="19" t="n">
        <v>0.11628</v>
      </c>
      <c r="U28" s="19" t="n">
        <v>0.09408999999999999</v>
      </c>
      <c r="V28" s="20" t="n">
        <v>0.66</v>
      </c>
      <c r="W28" s="20" t="n">
        <v>110.09</v>
      </c>
      <c r="X28" s="20" t="n">
        <v>224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IF($H29="","",IFERROR(VLOOKUP($H29,PQ_Diario!$A:$D,2,0),V29))</f>
        <v/>
      </c>
      <c r="J29" s="17">
        <f>IF($H29="","",IFERROR(VLOOKUP($H29,PQ_Diario!$A:$D,3,0),W29))</f>
        <v/>
      </c>
      <c r="K29" s="17">
        <f>IF($H29="","",IFERROR(VLOOKUP($H29,PQ_Diario!$A:$D,4,0),X29))</f>
        <v/>
      </c>
      <c r="S29" s="19" t="n">
        <v>0.1267</v>
      </c>
      <c r="T29" s="19" t="n">
        <v>0.12543</v>
      </c>
      <c r="U29" s="19" t="n">
        <v>0.10005</v>
      </c>
      <c r="V29" s="20" t="n">
        <v>-0.01</v>
      </c>
      <c r="W29" s="20" t="n">
        <v>137.19</v>
      </c>
      <c r="X29" s="20" t="n">
        <v>226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IF($H30="","",IFERROR(VLOOKUP($H30,PQ_Diario!$A:$D,2,0),V30))</f>
        <v/>
      </c>
      <c r="J30" s="17">
        <f>IF($H30="","",IFERROR(VLOOKUP($H30,PQ_Diario!$A:$D,3,0),W30))</f>
        <v/>
      </c>
      <c r="K30" s="17">
        <f>IF($H30="","",IFERROR(VLOOKUP($H30,PQ_Diario!$A:$D,4,0),X30))</f>
        <v/>
      </c>
      <c r="S30" s="19" t="n">
        <v>0.11618</v>
      </c>
      <c r="T30" s="19" t="n">
        <v>0.11035</v>
      </c>
      <c r="U30" s="19" t="n">
        <v>0.08304</v>
      </c>
      <c r="V30" s="20" t="n">
        <v>-1.46</v>
      </c>
      <c r="W30" s="20" t="n">
        <v>106.94</v>
      </c>
      <c r="X30" s="20" t="n">
        <v>250.59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IF($H31="","",IFERROR(VLOOKUP($H31,PQ_Diario!$A:$D,2,0),V31))</f>
        <v/>
      </c>
      <c r="J31" s="17">
        <f>IF($H31="","",IFERROR(VLOOKUP($H31,PQ_Diario!$A:$D,3,0),W31))</f>
        <v/>
      </c>
      <c r="K31" s="17">
        <f>IF($H31="","",IFERROR(VLOOKUP($H31,PQ_Diario!$A:$D,4,0),X31))</f>
        <v/>
      </c>
      <c r="S31" s="19" t="n">
        <v>0.1231</v>
      </c>
      <c r="T31" s="19" t="n">
        <v>0.10975</v>
      </c>
      <c r="U31" s="19" t="n">
        <v>0.10093</v>
      </c>
      <c r="V31" s="20" t="n">
        <v>55</v>
      </c>
      <c r="W31" s="20" t="n">
        <v>196.86</v>
      </c>
      <c r="X31" s="20" t="n">
        <v>300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46320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186.5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Nov-26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189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Dec-26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195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Jan-27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184.22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Feb-27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114.67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Mar-27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84.69</v>
      </c>
      <c r="E11" s="36" t="n">
        <v>0</v>
      </c>
      <c r="J11" t="inlineStr">
        <is>
          <t>FTB M Apr-27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164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93.05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129.11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126.86</v>
      </c>
      <c r="E15" s="36" t="n">
        <v>1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82.5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56.05</v>
      </c>
      <c r="E17" s="36" t="n">
        <v>0</v>
      </c>
      <c r="J17" t="inlineStr">
        <is>
          <t>FTB Q2-28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73</v>
      </c>
      <c r="E18" s="36" t="n">
        <v>0</v>
      </c>
      <c r="J18" t="inlineStr">
        <is>
          <t>FTB Q3-28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128.15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71.34999999999999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65.48999999999999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2026-10-25T21:57:06Z</dcterms:created>
  <dcterms:modified xsi:type="dcterms:W3CDTF">2026-10-25T21:57:06Z</dcterms:modified>
</cp:coreProperties>
</file>