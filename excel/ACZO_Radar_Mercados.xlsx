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100</v>
      </c>
      <c r="W32" s="20" t="n">
        <v>206.89</v>
      </c>
      <c r="X32" s="20" t="n">
        <v>290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57.08</v>
      </c>
      <c r="W33" s="20" t="n">
        <v>197.46</v>
      </c>
      <c r="X33" s="20" t="n">
        <v>319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115</v>
      </c>
      <c r="W34" s="20" t="n">
        <v>231.01</v>
      </c>
      <c r="X34" s="20" t="n">
        <v>322.78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171.39</v>
      </c>
      <c r="W35" s="20" t="n">
        <v>244.69</v>
      </c>
      <c r="X35" s="20" t="n">
        <v>324.72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IF($H36="","",IFERROR(VLOOKUP($H36,PQ_Diario!$A:$D,2,0),V36))</f>
        <v/>
      </c>
      <c r="J36" s="17">
        <f>IF($H36="","",IFERROR(VLOOKUP($H36,PQ_Diario!$A:$D,3,0),W36))</f>
        <v/>
      </c>
      <c r="K36" s="17">
        <f>IF($H36="","",IFERROR(VLOOKUP($H36,PQ_Diario!$A:$D,4,0),X36))</f>
        <v/>
      </c>
      <c r="S36" s="19" t="n">
        <v>0.06641</v>
      </c>
      <c r="T36" s="19" t="n">
        <v>0.06963</v>
      </c>
      <c r="U36" s="19" t="n">
        <v>0.07197000000000001</v>
      </c>
      <c r="V36" s="20" t="n">
        <v>57.62</v>
      </c>
      <c r="W36" s="20" t="n">
        <v>208.98</v>
      </c>
      <c r="X36" s="20" t="n">
        <v>303.15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IFERROR(VLOOKUP($A51,PQ_Mensual!$A:$D,2,0),S51)</f>
        <v/>
      </c>
      <c r="C51" s="14">
        <f>IFERROR(VLOOKUP($A51,PQ_Mensual!$A:$D,3,0),T51)</f>
        <v/>
      </c>
      <c r="D51" s="14">
        <f>IFERROR(VLOOKUP($A51,PQ_Mensual!$A:$D,4,0),U51)</f>
        <v/>
      </c>
      <c r="E51" s="14">
        <f>IF(COUNT(B51:D51)=0,"",AVERAGE(B51:D51))</f>
        <v/>
      </c>
      <c r="F51" s="15">
        <f>IF(E51="","",E51*1000)</f>
        <v/>
      </c>
      <c r="S51" s="19" t="n">
        <v>0.17314</v>
      </c>
      <c r="T51" s="19" t="n">
        <v>0.1627</v>
      </c>
      <c r="U51" s="19" t="n">
        <v>0.16533</v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IFERROR(VLOOKUP($A51,PQ_Mensual6P!$A:$G,5,0),V51)</f>
        <v/>
      </c>
      <c r="F51" s="14">
        <f>IFERROR(VLOOKUP($A51,PQ_Mensual6P!$A:$G,6,0),W51)</f>
        <v/>
      </c>
      <c r="G51" s="14">
        <f>IFERROR(VLOOKUP($A51,PQ_Mensual6P!$A:$G,7,0),X51)</f>
        <v/>
      </c>
      <c r="H51" s="15">
        <f>IF(COUNT(B51:G51)=0,"",AVERAGE(B51:G51)*1000)</f>
        <v/>
      </c>
      <c r="I51" s="29" t="inlineStr">
        <is>
          <t>BAJA</t>
        </is>
      </c>
      <c r="V51" s="19" t="n">
        <v>0.17662</v>
      </c>
      <c r="W51" s="19" t="n">
        <v>0.15674</v>
      </c>
      <c r="X51" s="19" t="n">
        <v>0.16533</v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193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192.5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199.5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192.91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117.56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86.53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169.25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93.5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130.31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129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88.12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60.76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75.33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130.4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76.15000000000001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68.5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2026-10-30T23:03:49Z</dcterms:created>
  <dcterms:modified xsi:type="dcterms:W3CDTF">2026-10-30T23:03:50Z</dcterms:modified>
</cp:coreProperties>
</file>