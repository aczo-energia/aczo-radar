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-0.5</v>
      </c>
      <c r="W18" s="20" t="n">
        <v>121.39</v>
      </c>
      <c r="X18" s="20" t="n">
        <v>237.53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40.53</v>
      </c>
      <c r="W19" s="20" t="n">
        <v>177.44</v>
      </c>
      <c r="X19" s="20" t="n">
        <v>300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35.67</v>
      </c>
      <c r="W20" s="20" t="n">
        <v>167.33</v>
      </c>
      <c r="X20" s="20" t="n">
        <v>268.06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104.63</v>
      </c>
      <c r="X21" s="20" t="n">
        <v>196.18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0.51</v>
      </c>
      <c r="W22" s="20" t="n">
        <v>127.41</v>
      </c>
      <c r="X22" s="20" t="n">
        <v>244.11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124.78</v>
      </c>
      <c r="X23" s="20" t="n">
        <v>228.78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-1</v>
      </c>
      <c r="W24" s="20" t="n">
        <v>110.26</v>
      </c>
      <c r="X24" s="20" t="n">
        <v>201.15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-1.14</v>
      </c>
      <c r="W25" s="20" t="n">
        <v>112.56</v>
      </c>
      <c r="X25" s="20" t="n">
        <v>225.57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1.49</v>
      </c>
      <c r="W26" s="20" t="n">
        <v>138.77</v>
      </c>
      <c r="X26" s="20" t="n">
        <v>276.54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1.99</v>
      </c>
      <c r="W27" s="20" t="n">
        <v>156.02</v>
      </c>
      <c r="X27" s="20" t="n">
        <v>300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10.02</v>
      </c>
      <c r="W28" s="20" t="n">
        <v>158.88</v>
      </c>
      <c r="X28" s="20" t="n">
        <v>274.36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17.62</v>
      </c>
      <c r="W29" s="20" t="n">
        <v>157.24</v>
      </c>
      <c r="X29" s="20" t="n">
        <v>288.23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19.17</v>
      </c>
      <c r="W30" s="20" t="n">
        <v>158.92</v>
      </c>
      <c r="X30" s="20" t="n">
        <v>287.13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IF($H31="","",IFERROR(VLOOKUP($H31,PQ_Diario!$A:$D,2,0),V31))</f>
        <v/>
      </c>
      <c r="J31" s="17">
        <f>IF($H31="","",IFERROR(VLOOKUP($H31,PQ_Diario!$A:$D,3,0),W31))</f>
        <v/>
      </c>
      <c r="K31" s="17">
        <f>IF($H31="","",IFERROR(VLOOKUP($H31,PQ_Diario!$A:$D,4,0),X31))</f>
        <v/>
      </c>
      <c r="S31" s="19" t="n">
        <v>0.1231</v>
      </c>
      <c r="T31" s="19" t="n">
        <v>0.10975</v>
      </c>
      <c r="U31" s="19" t="n">
        <v>0.10093</v>
      </c>
      <c r="V31" s="20" t="n">
        <v>0.45</v>
      </c>
      <c r="W31" s="20" t="n">
        <v>130.62</v>
      </c>
      <c r="X31" s="20" t="n">
        <v>251.08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IF($H32="","",IFERROR(VLOOKUP($H32,PQ_Diario!$A:$D,2,0),V32))</f>
        <v/>
      </c>
      <c r="J32" s="17">
        <f>IF($H32="","",IFERROR(VLOOKUP($H32,PQ_Diario!$A:$D,3,0),W32))</f>
        <v/>
      </c>
      <c r="K32" s="17">
        <f>IF($H32="","",IFERROR(VLOOKUP($H32,PQ_Diario!$A:$D,4,0),X32))</f>
        <v/>
      </c>
      <c r="S32" s="19" t="n">
        <v>0.07069</v>
      </c>
      <c r="T32" s="19" t="n">
        <v>0.05524</v>
      </c>
      <c r="U32" s="19" t="n">
        <v>0.04494</v>
      </c>
      <c r="V32" s="20" t="n">
        <v>-0.07000000000000001</v>
      </c>
      <c r="W32" s="20" t="n">
        <v>113.65</v>
      </c>
      <c r="X32" s="20" t="n">
        <v>210.26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IF($H33="","",IFERROR(VLOOKUP($H33,PQ_Diario!$A:$D,2,0),V33))</f>
        <v/>
      </c>
      <c r="J33" s="17">
        <f>IF($H33="","",IFERROR(VLOOKUP($H33,PQ_Diario!$A:$D,3,0),W33))</f>
        <v/>
      </c>
      <c r="K33" s="17">
        <f>IF($H33="","",IFERROR(VLOOKUP($H33,PQ_Diario!$A:$D,4,0),X33))</f>
        <v/>
      </c>
      <c r="S33" s="19" t="n">
        <v>0.02763</v>
      </c>
      <c r="T33" s="19" t="n">
        <v>0.02789</v>
      </c>
      <c r="U33" s="19" t="n">
        <v>0.02598</v>
      </c>
      <c r="V33" s="20" t="n">
        <v>147.32</v>
      </c>
      <c r="W33" s="20" t="n">
        <v>198.05</v>
      </c>
      <c r="X33" s="20" t="n">
        <v>280.59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IF($H34="","",IFERROR(VLOOKUP($H34,PQ_Diario!$A:$D,2,0),V34))</f>
        <v/>
      </c>
      <c r="J34" s="17">
        <f>IF($H34="","",IFERROR(VLOOKUP($H34,PQ_Diario!$A:$D,3,0),W34))</f>
        <v/>
      </c>
      <c r="K34" s="17">
        <f>IF($H34="","",IFERROR(VLOOKUP($H34,PQ_Diario!$A:$D,4,0),X34))</f>
        <v/>
      </c>
      <c r="S34" s="19" t="n">
        <v>0.01629</v>
      </c>
      <c r="T34" s="19" t="n">
        <v>0.01712</v>
      </c>
      <c r="U34" s="19" t="n">
        <v>0.01711</v>
      </c>
      <c r="V34" s="20" t="n">
        <v>1.08</v>
      </c>
      <c r="W34" s="20" t="n">
        <v>130.1</v>
      </c>
      <c r="X34" s="20" t="n">
        <v>239.17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46293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128.2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142.6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141.2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143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125.2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79.19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137.27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115.5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58.5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84.5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92.8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71.44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44.95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87.75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60.5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58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2026-09-28T23:51:50Z</dcterms:created>
  <dcterms:modified xsi:type="dcterms:W3CDTF">2026-09-28T23:51:50Z</dcterms:modified>
</cp:coreProperties>
</file>