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IFERROR(DATE(YEAR(MAX(PQ_Diario!A:A)),MONTH(MAX(PQ_Diario!A:A)),1),DATE(2026,9,1))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24.75</v>
      </c>
      <c r="W6" s="20" t="n">
        <v>141.55</v>
      </c>
      <c r="X6" s="20" t="n">
        <v>238.74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58.23</v>
      </c>
      <c r="W7" s="20" t="n">
        <v>159.91</v>
      </c>
      <c r="X7" s="20" t="n">
        <v>247.27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27</v>
      </c>
      <c r="W8" s="20" t="n">
        <v>155.99</v>
      </c>
      <c r="X8" s="20" t="n">
        <v>300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82.5</v>
      </c>
      <c r="W9" s="20" t="n">
        <v>169.5</v>
      </c>
      <c r="X9" s="20" t="n">
        <v>260.27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2.81</v>
      </c>
      <c r="W10" s="20" t="n">
        <v>138.11</v>
      </c>
      <c r="X10" s="20" t="n">
        <v>225.01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0</v>
      </c>
      <c r="W11" s="20" t="n">
        <v>140.01</v>
      </c>
      <c r="X11" s="20" t="n">
        <v>249.3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IF($H12="","",IFERROR(VLOOKUP($H12,PQ_Diario!$A:$D,2,0),""))</f>
        <v/>
      </c>
      <c r="J12" s="17">
        <f>IF($H12="","",IFERROR(VLOOKUP($H12,PQ_Diario!$A:$D,3,0),""))</f>
        <v/>
      </c>
      <c r="K12" s="17">
        <f>IF($H12="","",IFERROR(VLOOKUP($H12,PQ_Diario!$A:$D,4,0),""))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IF($H13="","",IFERROR(VLOOKUP($H13,PQ_Diario!$A:$D,2,0),""))</f>
        <v/>
      </c>
      <c r="J13" s="17">
        <f>IF($H13="","",IFERROR(VLOOKUP($H13,PQ_Diario!$A:$D,3,0),""))</f>
        <v/>
      </c>
      <c r="K13" s="17">
        <f>IF($H13="","",IFERROR(VLOOKUP($H13,PQ_Diario!$A:$D,4,0),""))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IF($H14="","",IFERROR(VLOOKUP($H14,PQ_Diario!$A:$D,2,0),""))</f>
        <v/>
      </c>
      <c r="J14" s="17">
        <f>IF($H14="","",IFERROR(VLOOKUP($H14,PQ_Diario!$A:$D,3,0),""))</f>
        <v/>
      </c>
      <c r="K14" s="17">
        <f>IF($H14="","",IFERROR(VLOOKUP($H14,PQ_Diario!$A:$D,4,0),""))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IF($H15="","",IFERROR(VLOOKUP($H15,PQ_Diario!$A:$D,2,0),""))</f>
        <v/>
      </c>
      <c r="J15" s="17">
        <f>IF($H15="","",IFERROR(VLOOKUP($H15,PQ_Diario!$A:$D,3,0),""))</f>
        <v/>
      </c>
      <c r="K15" s="17">
        <f>IF($H15="","",IFERROR(VLOOKUP($H15,PQ_Diario!$A:$D,4,0),""))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IF($H16="","",IFERROR(VLOOKUP($H16,PQ_Diario!$A:$D,2,0),""))</f>
        <v/>
      </c>
      <c r="J16" s="17">
        <f>IF($H16="","",IFERROR(VLOOKUP($H16,PQ_Diario!$A:$D,3,0),""))</f>
        <v/>
      </c>
      <c r="K16" s="17">
        <f>IF($H16="","",IFERROR(VLOOKUP($H16,PQ_Diario!$A:$D,4,0),""))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IF($H17="","",IFERROR(VLOOKUP($H17,PQ_Diario!$A:$D,2,0),""))</f>
        <v/>
      </c>
      <c r="J17" s="17">
        <f>IF($H17="","",IFERROR(VLOOKUP($H17,PQ_Diario!$A:$D,3,0),""))</f>
        <v/>
      </c>
      <c r="K17" s="17">
        <f>IF($H17="","",IFERROR(VLOOKUP($H17,PQ_Diario!$A:$D,4,0),""))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IF($H18="","",IFERROR(VLOOKUP($H18,PQ_Diario!$A:$D,2,0),""))</f>
        <v/>
      </c>
      <c r="J18" s="17">
        <f>IF($H18="","",IFERROR(VLOOKUP($H18,PQ_Diario!$A:$D,3,0),""))</f>
        <v/>
      </c>
      <c r="K18" s="17">
        <f>IF($H18="","",IFERROR(VLOOKUP($H18,PQ_Diario!$A:$D,4,0),""))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IF($H19="","",IFERROR(VLOOKUP($H19,PQ_Diario!$A:$D,2,0),""))</f>
        <v/>
      </c>
      <c r="J19" s="17">
        <f>IF($H19="","",IFERROR(VLOOKUP($H19,PQ_Diario!$A:$D,3,0),""))</f>
        <v/>
      </c>
      <c r="K19" s="17">
        <f>IF($H19="","",IFERROR(VLOOKUP($H19,PQ_Diario!$A:$D,4,0),""))</f>
        <v/>
      </c>
      <c r="S19" s="19" t="n">
        <v>0.04724</v>
      </c>
      <c r="T19" s="19" t="n">
        <v>0.04088</v>
      </c>
      <c r="U19" s="19" t="n">
        <v>0.03621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IF($H20="","",IFERROR(VLOOKUP($H20,PQ_Diario!$A:$D,2,0),""))</f>
        <v/>
      </c>
      <c r="J20" s="17">
        <f>IF($H20="","",IFERROR(VLOOKUP($H20,PQ_Diario!$A:$D,3,0),""))</f>
        <v/>
      </c>
      <c r="K20" s="17">
        <f>IF($H20="","",IFERROR(VLOOKUP($H20,PQ_Diario!$A:$D,4,0),""))</f>
        <v/>
      </c>
      <c r="S20" s="19" t="n">
        <v>0.03233</v>
      </c>
      <c r="T20" s="19" t="n">
        <v>0.02246</v>
      </c>
      <c r="U20" s="19" t="n">
        <v>0.01494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IF($H21="","",IFERROR(VLOOKUP($H21,PQ_Diario!$A:$D,2,0),""))</f>
        <v/>
      </c>
      <c r="J21" s="17">
        <f>IF($H21="","",IFERROR(VLOOKUP($H21,PQ_Diario!$A:$D,3,0),""))</f>
        <v/>
      </c>
      <c r="K21" s="17">
        <f>IF($H21="","",IFERROR(VLOOKUP($H21,PQ_Diario!$A:$D,4,0),""))</f>
        <v/>
      </c>
      <c r="S21" s="19" t="n">
        <v>0.01418</v>
      </c>
      <c r="T21" s="19" t="n">
        <v>0.0138</v>
      </c>
      <c r="U21" s="19" t="n">
        <v>0.01337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IF($H22="","",IFERROR(VLOOKUP($H22,PQ_Diario!$A:$D,2,0),""))</f>
        <v/>
      </c>
      <c r="J22" s="17">
        <f>IF($H22="","",IFERROR(VLOOKUP($H22,PQ_Diario!$A:$D,3,0),""))</f>
        <v/>
      </c>
      <c r="K22" s="17">
        <f>IF($H22="","",IFERROR(VLOOKUP($H22,PQ_Diario!$A:$D,4,0),""))</f>
        <v/>
      </c>
      <c r="S22" s="19" t="n">
        <v>0.02666</v>
      </c>
      <c r="T22" s="19" t="n">
        <v>0.02822</v>
      </c>
      <c r="U22" s="19" t="n">
        <v>0.03306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IF($H23="","",IFERROR(VLOOKUP($H23,PQ_Diario!$A:$D,2,0),""))</f>
        <v/>
      </c>
      <c r="J23" s="17">
        <f>IF($H23="","",IFERROR(VLOOKUP($H23,PQ_Diario!$A:$D,3,0),""))</f>
        <v/>
      </c>
      <c r="K23" s="17">
        <f>IF($H23="","",IFERROR(VLOOKUP($H23,PQ_Diario!$A:$D,4,0),""))</f>
        <v/>
      </c>
      <c r="S23" s="19" t="n">
        <v>0.06157</v>
      </c>
      <c r="T23" s="19" t="n">
        <v>0.06107</v>
      </c>
      <c r="U23" s="19" t="n">
        <v>0.05189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IF($H24="","",IFERROR(VLOOKUP($H24,PQ_Diario!$A:$D,2,0),""))</f>
        <v/>
      </c>
      <c r="J24" s="17">
        <f>IF($H24="","",IFERROR(VLOOKUP($H24,PQ_Diario!$A:$D,3,0),""))</f>
        <v/>
      </c>
      <c r="K24" s="17">
        <f>IF($H24="","",IFERROR(VLOOKUP($H24,PQ_Diario!$A:$D,4,0),""))</f>
        <v/>
      </c>
      <c r="S24" s="19" t="n">
        <v>0.07452</v>
      </c>
      <c r="T24" s="19" t="n">
        <v>0.07392</v>
      </c>
      <c r="U24" s="19" t="n">
        <v>0.07045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IF($H25="","",IFERROR(VLOOKUP($H25,PQ_Diario!$A:$D,2,0),""))</f>
        <v/>
      </c>
      <c r="J25" s="17">
        <f>IF($H25="","",IFERROR(VLOOKUP($H25,PQ_Diario!$A:$D,3,0),""))</f>
        <v/>
      </c>
      <c r="K25" s="17">
        <f>IF($H25="","",IFERROR(VLOOKUP($H25,PQ_Diario!$A:$D,4,0),""))</f>
        <v/>
      </c>
      <c r="S25" s="19" t="n">
        <v>0.09821000000000001</v>
      </c>
      <c r="T25" s="19" t="n">
        <v>0.09719</v>
      </c>
      <c r="U25" s="19" t="n">
        <v>0.08558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46270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129.5</v>
      </c>
      <c r="E6" s="36" t="n">
        <v>0</v>
      </c>
      <c r="G6" s="37" t="inlineStr">
        <is>
          <t>· Corto tenso: Sep-Dic 26 cotizan 97-103 €/MWh.</t>
        </is>
      </c>
      <c r="J6" t="inlineStr">
        <is>
          <t>FTB M Oct-26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135.94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Nov-26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135.14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Dec-26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138.95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Jan-27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124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Feb-27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75.61</v>
      </c>
      <c r="E11" s="36" t="n">
        <v>0</v>
      </c>
      <c r="J11" t="inlineStr">
        <is>
          <t>FTB M Mar-27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133.5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112.5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53.9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78.02</v>
      </c>
      <c r="E15" s="36" t="n">
        <v>3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79.98999999999999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69.3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44.85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81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60.8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57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2026-09-05T21:25:26Z</dcterms:created>
  <dcterms:modified xsi:type="dcterms:W3CDTF">2026-09-05T21:25:26Z</dcterms:modified>
</cp:coreProperties>
</file>